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824" codeName="{E5D1E7B1-6628-F0F0-D09B-76B25B5F3CD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michellemartin/Desktop/"/>
    </mc:Choice>
  </mc:AlternateContent>
  <xr:revisionPtr revIDLastSave="0" documentId="13_ncr:1_{8FF21307-EA17-634C-84F0-BDA579045D22}" xr6:coauthVersionLast="47" xr6:coauthVersionMax="47" xr10:uidLastSave="{00000000-0000-0000-0000-000000000000}"/>
  <bookViews>
    <workbookView xWindow="0" yWindow="500" windowWidth="28800" windowHeight="17500" activeTab="2" xr2:uid="{00000000-000D-0000-FFFF-FFFF00000000}"/>
  </bookViews>
  <sheets>
    <sheet name="ReadMe" sheetId="1" r:id="rId1"/>
    <sheet name="Config" sheetId="2" r:id="rId2"/>
    <sheet name="Data" sheetId="3" r:id="rId3"/>
    <sheet name="Labels_A4" sheetId="8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8" l="1"/>
  <c r="C4" i="8"/>
  <c r="C3" i="8"/>
  <c r="C2" i="8"/>
  <c r="C1" i="8"/>
  <c r="L3" i="3"/>
  <c r="N3" i="3" s="1"/>
  <c r="L4" i="3"/>
  <c r="N4" i="3" s="1"/>
  <c r="L5" i="3"/>
  <c r="N5" i="3" s="1"/>
  <c r="L6" i="3"/>
  <c r="N6" i="3" s="1"/>
  <c r="L7" i="3"/>
  <c r="N7" i="3" s="1"/>
  <c r="L8" i="3"/>
  <c r="N8" i="3" s="1"/>
  <c r="L9" i="3"/>
  <c r="N9" i="3" s="1"/>
  <c r="L10" i="3"/>
  <c r="N10" i="3" s="1"/>
  <c r="L11" i="3"/>
  <c r="N11" i="3" s="1"/>
  <c r="L12" i="3"/>
  <c r="N12" i="3" s="1"/>
  <c r="L13" i="3"/>
  <c r="N13" i="3" s="1"/>
  <c r="L14" i="3"/>
  <c r="N14" i="3" s="1"/>
  <c r="L15" i="3"/>
  <c r="N15" i="3" s="1"/>
  <c r="L16" i="3"/>
  <c r="N16" i="3" s="1"/>
  <c r="L17" i="3"/>
  <c r="N17" i="3" s="1"/>
  <c r="L18" i="3"/>
  <c r="N18" i="3" s="1"/>
  <c r="L19" i="3"/>
  <c r="N19" i="3" s="1"/>
  <c r="L20" i="3"/>
  <c r="N20" i="3" s="1"/>
  <c r="L21" i="3"/>
  <c r="N21" i="3" s="1"/>
  <c r="L22" i="3"/>
  <c r="N22" i="3" s="1"/>
  <c r="L23" i="3"/>
  <c r="N23" i="3" s="1"/>
  <c r="L24" i="3"/>
  <c r="N24" i="3" s="1"/>
  <c r="L25" i="3"/>
  <c r="N25" i="3" s="1"/>
  <c r="L26" i="3"/>
  <c r="N26" i="3" s="1"/>
  <c r="L27" i="3"/>
  <c r="N27" i="3" s="1"/>
  <c r="L28" i="3"/>
  <c r="N28" i="3" s="1"/>
  <c r="L29" i="3"/>
  <c r="N29" i="3" s="1"/>
  <c r="L30" i="3"/>
  <c r="N30" i="3" s="1"/>
  <c r="L31" i="3"/>
  <c r="N31" i="3" s="1"/>
  <c r="L32" i="3"/>
  <c r="N32" i="3" s="1"/>
  <c r="L33" i="3"/>
  <c r="N33" i="3" s="1"/>
  <c r="L34" i="3"/>
  <c r="N34" i="3" s="1"/>
  <c r="L35" i="3"/>
  <c r="N35" i="3" s="1"/>
  <c r="L36" i="3"/>
  <c r="N36" i="3" s="1"/>
  <c r="L37" i="3"/>
  <c r="N37" i="3" s="1"/>
  <c r="L38" i="3"/>
  <c r="N38" i="3" s="1"/>
  <c r="L39" i="3"/>
  <c r="N39" i="3" s="1"/>
  <c r="L40" i="3"/>
  <c r="N40" i="3" s="1"/>
  <c r="L221" i="3"/>
  <c r="N221" i="3" s="1"/>
  <c r="L220" i="3"/>
  <c r="N220" i="3" s="1"/>
  <c r="L219" i="3"/>
  <c r="N219" i="3" s="1"/>
  <c r="L218" i="3"/>
  <c r="N218" i="3" s="1"/>
  <c r="L217" i="3"/>
  <c r="N217" i="3" s="1"/>
  <c r="L216" i="3"/>
  <c r="N216" i="3" s="1"/>
  <c r="L215" i="3"/>
  <c r="N215" i="3" s="1"/>
  <c r="L214" i="3"/>
  <c r="N214" i="3" s="1"/>
  <c r="L213" i="3"/>
  <c r="N213" i="3" s="1"/>
  <c r="L212" i="3"/>
  <c r="N212" i="3" s="1"/>
  <c r="L211" i="3"/>
  <c r="N211" i="3" s="1"/>
  <c r="L210" i="3"/>
  <c r="N210" i="3" s="1"/>
  <c r="L209" i="3"/>
  <c r="N209" i="3" s="1"/>
  <c r="L208" i="3"/>
  <c r="N208" i="3" s="1"/>
  <c r="L207" i="3"/>
  <c r="N207" i="3" s="1"/>
  <c r="L206" i="3"/>
  <c r="N206" i="3" s="1"/>
  <c r="L205" i="3"/>
  <c r="N205" i="3" s="1"/>
  <c r="L204" i="3"/>
  <c r="N204" i="3" s="1"/>
  <c r="L203" i="3"/>
  <c r="N203" i="3" s="1"/>
  <c r="L202" i="3"/>
  <c r="N202" i="3" s="1"/>
  <c r="L201" i="3"/>
  <c r="N201" i="3" s="1"/>
  <c r="L200" i="3"/>
  <c r="N200" i="3" s="1"/>
  <c r="L199" i="3"/>
  <c r="N199" i="3" s="1"/>
  <c r="L198" i="3"/>
  <c r="N198" i="3" s="1"/>
  <c r="L197" i="3"/>
  <c r="N197" i="3" s="1"/>
  <c r="L196" i="3"/>
  <c r="N196" i="3" s="1"/>
  <c r="L195" i="3"/>
  <c r="N195" i="3" s="1"/>
  <c r="L194" i="3"/>
  <c r="N194" i="3" s="1"/>
  <c r="L193" i="3"/>
  <c r="N193" i="3" s="1"/>
  <c r="L192" i="3"/>
  <c r="N192" i="3" s="1"/>
  <c r="L191" i="3"/>
  <c r="N191" i="3" s="1"/>
  <c r="L190" i="3"/>
  <c r="N190" i="3" s="1"/>
  <c r="L189" i="3"/>
  <c r="N189" i="3" s="1"/>
  <c r="L188" i="3"/>
  <c r="N188" i="3" s="1"/>
  <c r="L187" i="3"/>
  <c r="N187" i="3" s="1"/>
  <c r="L186" i="3"/>
  <c r="N186" i="3" s="1"/>
  <c r="L185" i="3"/>
  <c r="N185" i="3" s="1"/>
  <c r="L184" i="3"/>
  <c r="N184" i="3" s="1"/>
  <c r="L183" i="3"/>
  <c r="N183" i="3" s="1"/>
  <c r="L182" i="3"/>
  <c r="N182" i="3" s="1"/>
  <c r="L181" i="3"/>
  <c r="N181" i="3" s="1"/>
  <c r="L180" i="3"/>
  <c r="N180" i="3" s="1"/>
  <c r="L179" i="3"/>
  <c r="N179" i="3" s="1"/>
  <c r="L178" i="3"/>
  <c r="N178" i="3" s="1"/>
  <c r="L177" i="3"/>
  <c r="N177" i="3" s="1"/>
  <c r="L176" i="3"/>
  <c r="N176" i="3" s="1"/>
  <c r="L175" i="3"/>
  <c r="N175" i="3" s="1"/>
  <c r="L174" i="3"/>
  <c r="N174" i="3" s="1"/>
  <c r="L173" i="3"/>
  <c r="N173" i="3" s="1"/>
  <c r="L172" i="3"/>
  <c r="N172" i="3" s="1"/>
  <c r="L171" i="3"/>
  <c r="N171" i="3" s="1"/>
  <c r="L170" i="3"/>
  <c r="N170" i="3" s="1"/>
  <c r="L169" i="3"/>
  <c r="N169" i="3" s="1"/>
  <c r="L168" i="3"/>
  <c r="N168" i="3" s="1"/>
  <c r="L167" i="3"/>
  <c r="N167" i="3" s="1"/>
  <c r="L166" i="3"/>
  <c r="N166" i="3" s="1"/>
  <c r="L165" i="3"/>
  <c r="N165" i="3" s="1"/>
  <c r="L164" i="3"/>
  <c r="N164" i="3" s="1"/>
  <c r="L163" i="3"/>
  <c r="N163" i="3" s="1"/>
  <c r="L162" i="3"/>
  <c r="N162" i="3" s="1"/>
  <c r="L161" i="3"/>
  <c r="N161" i="3" s="1"/>
  <c r="L160" i="3"/>
  <c r="N160" i="3" s="1"/>
  <c r="L159" i="3"/>
  <c r="N159" i="3" s="1"/>
  <c r="L158" i="3"/>
  <c r="N158" i="3" s="1"/>
  <c r="L157" i="3"/>
  <c r="N157" i="3" s="1"/>
  <c r="L156" i="3"/>
  <c r="N156" i="3" s="1"/>
  <c r="L155" i="3"/>
  <c r="N155" i="3" s="1"/>
  <c r="L154" i="3"/>
  <c r="N154" i="3" s="1"/>
  <c r="L153" i="3"/>
  <c r="N153" i="3" s="1"/>
  <c r="L152" i="3"/>
  <c r="N152" i="3" s="1"/>
  <c r="L151" i="3"/>
  <c r="N151" i="3" s="1"/>
  <c r="L150" i="3"/>
  <c r="N150" i="3" s="1"/>
  <c r="L149" i="3"/>
  <c r="N149" i="3" s="1"/>
  <c r="L148" i="3"/>
  <c r="N148" i="3" s="1"/>
  <c r="L147" i="3"/>
  <c r="N147" i="3" s="1"/>
  <c r="L146" i="3"/>
  <c r="N146" i="3" s="1"/>
  <c r="L145" i="3"/>
  <c r="N145" i="3" s="1"/>
  <c r="L144" i="3"/>
  <c r="N144" i="3" s="1"/>
  <c r="L143" i="3"/>
  <c r="N143" i="3" s="1"/>
  <c r="L142" i="3"/>
  <c r="N142" i="3" s="1"/>
  <c r="L141" i="3"/>
  <c r="N141" i="3" s="1"/>
  <c r="L140" i="3"/>
  <c r="N140" i="3" s="1"/>
  <c r="L139" i="3"/>
  <c r="N139" i="3" s="1"/>
  <c r="L138" i="3"/>
  <c r="N138" i="3" s="1"/>
  <c r="L137" i="3"/>
  <c r="N137" i="3" s="1"/>
  <c r="L136" i="3"/>
  <c r="N136" i="3" s="1"/>
  <c r="L135" i="3"/>
  <c r="N135" i="3" s="1"/>
  <c r="L134" i="3"/>
  <c r="N134" i="3" s="1"/>
  <c r="L133" i="3"/>
  <c r="N133" i="3" s="1"/>
  <c r="L132" i="3"/>
  <c r="N132" i="3" s="1"/>
  <c r="L131" i="3"/>
  <c r="N131" i="3" s="1"/>
  <c r="L130" i="3"/>
  <c r="N130" i="3" s="1"/>
  <c r="L129" i="3"/>
  <c r="N129" i="3" s="1"/>
  <c r="L128" i="3"/>
  <c r="N128" i="3" s="1"/>
  <c r="L127" i="3"/>
  <c r="N127" i="3" s="1"/>
  <c r="L126" i="3"/>
  <c r="N126" i="3" s="1"/>
  <c r="L125" i="3"/>
  <c r="N125" i="3" s="1"/>
  <c r="L124" i="3"/>
  <c r="N124" i="3" s="1"/>
  <c r="L123" i="3"/>
  <c r="N123" i="3" s="1"/>
  <c r="L122" i="3"/>
  <c r="N122" i="3" s="1"/>
  <c r="L121" i="3"/>
  <c r="N121" i="3" s="1"/>
  <c r="L120" i="3"/>
  <c r="N120" i="3" s="1"/>
  <c r="L119" i="3"/>
  <c r="N119" i="3" s="1"/>
  <c r="L118" i="3"/>
  <c r="N118" i="3" s="1"/>
  <c r="L117" i="3"/>
  <c r="N117" i="3" s="1"/>
  <c r="L116" i="3"/>
  <c r="N116" i="3" s="1"/>
  <c r="L115" i="3"/>
  <c r="N115" i="3" s="1"/>
  <c r="L114" i="3"/>
  <c r="N114" i="3" s="1"/>
  <c r="L113" i="3"/>
  <c r="N113" i="3" s="1"/>
  <c r="L112" i="3"/>
  <c r="N112" i="3" s="1"/>
  <c r="L111" i="3"/>
  <c r="N111" i="3" s="1"/>
  <c r="L110" i="3"/>
  <c r="N110" i="3" s="1"/>
  <c r="L109" i="3"/>
  <c r="N109" i="3" s="1"/>
  <c r="L108" i="3"/>
  <c r="N108" i="3" s="1"/>
  <c r="L107" i="3"/>
  <c r="N107" i="3" s="1"/>
  <c r="L106" i="3"/>
  <c r="N106" i="3" s="1"/>
  <c r="L105" i="3"/>
  <c r="N105" i="3" s="1"/>
  <c r="L104" i="3"/>
  <c r="N104" i="3" s="1"/>
  <c r="L103" i="3"/>
  <c r="N103" i="3" s="1"/>
  <c r="L102" i="3"/>
  <c r="N102" i="3" s="1"/>
  <c r="L101" i="3"/>
  <c r="N101" i="3" s="1"/>
  <c r="L100" i="3"/>
  <c r="N100" i="3" s="1"/>
  <c r="L99" i="3"/>
  <c r="N99" i="3" s="1"/>
  <c r="L98" i="3"/>
  <c r="N98" i="3" s="1"/>
  <c r="L97" i="3"/>
  <c r="N97" i="3" s="1"/>
  <c r="L96" i="3"/>
  <c r="N96" i="3" s="1"/>
  <c r="L95" i="3"/>
  <c r="N95" i="3" s="1"/>
  <c r="L94" i="3"/>
  <c r="N94" i="3" s="1"/>
  <c r="L93" i="3"/>
  <c r="N93" i="3" s="1"/>
  <c r="L92" i="3"/>
  <c r="N92" i="3" s="1"/>
  <c r="L91" i="3"/>
  <c r="N91" i="3" s="1"/>
  <c r="L90" i="3"/>
  <c r="N90" i="3" s="1"/>
  <c r="L89" i="3"/>
  <c r="N89" i="3" s="1"/>
  <c r="L88" i="3"/>
  <c r="N88" i="3" s="1"/>
  <c r="L87" i="3"/>
  <c r="N87" i="3" s="1"/>
  <c r="L86" i="3"/>
  <c r="N86" i="3" s="1"/>
  <c r="L85" i="3"/>
  <c r="N85" i="3" s="1"/>
  <c r="L84" i="3"/>
  <c r="N84" i="3" s="1"/>
  <c r="L83" i="3"/>
  <c r="N83" i="3" s="1"/>
  <c r="L82" i="3"/>
  <c r="N82" i="3" s="1"/>
  <c r="L81" i="3"/>
  <c r="N81" i="3" s="1"/>
  <c r="L80" i="3"/>
  <c r="N80" i="3" s="1"/>
  <c r="L79" i="3"/>
  <c r="N79" i="3" s="1"/>
  <c r="L78" i="3"/>
  <c r="N78" i="3" s="1"/>
  <c r="L77" i="3"/>
  <c r="N77" i="3" s="1"/>
  <c r="L76" i="3"/>
  <c r="N76" i="3" s="1"/>
  <c r="L75" i="3"/>
  <c r="N75" i="3" s="1"/>
  <c r="L74" i="3"/>
  <c r="N74" i="3" s="1"/>
  <c r="L73" i="3"/>
  <c r="N73" i="3" s="1"/>
  <c r="L72" i="3"/>
  <c r="N72" i="3" s="1"/>
  <c r="L71" i="3"/>
  <c r="N71" i="3" s="1"/>
  <c r="L70" i="3"/>
  <c r="N70" i="3" s="1"/>
  <c r="L69" i="3"/>
  <c r="N69" i="3" s="1"/>
  <c r="L68" i="3"/>
  <c r="N68" i="3" s="1"/>
  <c r="L67" i="3"/>
  <c r="N67" i="3" s="1"/>
  <c r="L66" i="3"/>
  <c r="N66" i="3" s="1"/>
  <c r="L65" i="3"/>
  <c r="N65" i="3" s="1"/>
  <c r="L64" i="3"/>
  <c r="N64" i="3" s="1"/>
  <c r="L63" i="3"/>
  <c r="N63" i="3" s="1"/>
  <c r="L62" i="3"/>
  <c r="N62" i="3" s="1"/>
  <c r="L61" i="3"/>
  <c r="N61" i="3" s="1"/>
  <c r="L60" i="3"/>
  <c r="N60" i="3" s="1"/>
  <c r="L59" i="3"/>
  <c r="N59" i="3" s="1"/>
  <c r="L58" i="3"/>
  <c r="N58" i="3" s="1"/>
  <c r="L57" i="3"/>
  <c r="N57" i="3" s="1"/>
  <c r="L56" i="3"/>
  <c r="N56" i="3" s="1"/>
  <c r="L55" i="3"/>
  <c r="N55" i="3" s="1"/>
  <c r="L54" i="3"/>
  <c r="N54" i="3" s="1"/>
  <c r="L53" i="3"/>
  <c r="N53" i="3" s="1"/>
  <c r="L52" i="3"/>
  <c r="N52" i="3" s="1"/>
  <c r="L51" i="3"/>
  <c r="N51" i="3" s="1"/>
  <c r="L50" i="3"/>
  <c r="N50" i="3" s="1"/>
  <c r="L49" i="3"/>
  <c r="N49" i="3" s="1"/>
  <c r="L48" i="3"/>
  <c r="N48" i="3" s="1"/>
  <c r="L47" i="3"/>
  <c r="N47" i="3" s="1"/>
  <c r="L46" i="3"/>
  <c r="N46" i="3" s="1"/>
  <c r="L45" i="3"/>
  <c r="N45" i="3" s="1"/>
  <c r="L44" i="3"/>
  <c r="N44" i="3" s="1"/>
  <c r="L43" i="3"/>
  <c r="N43" i="3" s="1"/>
  <c r="L42" i="3"/>
  <c r="N42" i="3" s="1"/>
  <c r="L41" i="3"/>
  <c r="N41" i="3" s="1"/>
  <c r="L2" i="3"/>
  <c r="N2" i="3" s="1"/>
</calcChain>
</file>

<file path=xl/sharedStrings.xml><?xml version="1.0" encoding="utf-8"?>
<sst xmlns="http://schemas.openxmlformats.org/spreadsheetml/2006/main" count="2452" uniqueCount="486">
  <si>
    <t>Cigar Membership – QR Master (Ready Build)</t>
  </si>
  <si>
    <t>Generated: 2025-09-10</t>
  </si>
  <si>
    <t>This file already includes:</t>
  </si>
  <si>
    <t>• Your cigar data, preserved.</t>
  </si>
  <si>
    <t>• K/L/M/N layout with cache-busting QR URLs so images update.</t>
  </si>
  <si>
    <t>• Config sheet set to your GitHub Pages URL.</t>
  </si>
  <si>
    <t>How to use:</t>
  </si>
  <si>
    <t>1) Open the file and enable editing.</t>
  </si>
  <si>
    <t>2) Developer → Macros → run RebuildQR_KLMN_v2 (after importing the .bas).</t>
  </si>
  <si>
    <t>3) Run BuildAllLabels_KLMN_v2 to create Labels_A4 for printing.</t>
  </si>
  <si>
    <t>Setting</t>
  </si>
  <si>
    <t>Value</t>
  </si>
  <si>
    <t>Base URL</t>
  </si>
  <si>
    <t>Batch</t>
  </si>
  <si>
    <t>Name</t>
  </si>
  <si>
    <t>Vitola</t>
  </si>
  <si>
    <t>Origin</t>
  </si>
  <si>
    <t>Wrapper</t>
  </si>
  <si>
    <t>Binder</t>
  </si>
  <si>
    <t>Filler</t>
  </si>
  <si>
    <t>Strength</t>
  </si>
  <si>
    <t>Flavour</t>
  </si>
  <si>
    <t>Notes</t>
  </si>
  <si>
    <t>ID</t>
  </si>
  <si>
    <t>Reveal Link</t>
  </si>
  <si>
    <t>QR (embedded)</t>
  </si>
  <si>
    <t>QR_URL</t>
  </si>
  <si>
    <t>Brand</t>
  </si>
  <si>
    <t>10th Aniversario Toro</t>
  </si>
  <si>
    <t>Toro</t>
  </si>
  <si>
    <t>Nicaragua</t>
  </si>
  <si>
    <t>Ecuador Habano</t>
  </si>
  <si>
    <t>Mexico San Andrés</t>
  </si>
  <si>
    <t>Medium-Full</t>
  </si>
  <si>
    <t>Spicy earth, wood, coffee, cocoa</t>
  </si>
  <si>
    <t>1502</t>
  </si>
  <si>
    <t>Conquistador</t>
  </si>
  <si>
    <t>Not specified</t>
  </si>
  <si>
    <t>Blue Sapphire Toro Gordo</t>
  </si>
  <si>
    <t>Toro Gordo</t>
  </si>
  <si>
    <t>Emerald Toro</t>
  </si>
  <si>
    <t>Emerald Torpedo</t>
  </si>
  <si>
    <t>Torpedo</t>
  </si>
  <si>
    <t>Ruby Lancero</t>
  </si>
  <si>
    <t>Lancero</t>
  </si>
  <si>
    <t>Ruby Robusto</t>
  </si>
  <si>
    <t>Robusto</t>
  </si>
  <si>
    <t>AJF Blend 15 - Short Robusto</t>
  </si>
  <si>
    <t>Short Robusto</t>
  </si>
  <si>
    <t>Pepper, chocolate, earth</t>
  </si>
  <si>
    <t>AJ Fernandez</t>
  </si>
  <si>
    <t>AJF Blend 15 - Toro</t>
  </si>
  <si>
    <t>Pepper, cocoa, earthy spice</t>
  </si>
  <si>
    <t>Bellas Artes Hybrid Robusto</t>
  </si>
  <si>
    <t>AJF Hybrid Rojita</t>
  </si>
  <si>
    <t>Havana ’92 (Nicaragua)</t>
  </si>
  <si>
    <t>Nicaragua/Honduras/Brazil</t>
  </si>
  <si>
    <t>Cinnamon, pepper, cream, citrus</t>
  </si>
  <si>
    <t>Bellas Artes Hybrid Toro</t>
  </si>
  <si>
    <t>Bellas Artes Maduro Robusto</t>
  </si>
  <si>
    <t>Brazilian Mata Fina</t>
  </si>
  <si>
    <t>Mexican San Andrés</t>
  </si>
  <si>
    <t>Full</t>
  </si>
  <si>
    <t>Chocolate, espresso, sweet spice</t>
  </si>
  <si>
    <t>Dias de Gloria Brazil Robusto</t>
  </si>
  <si>
    <t>Sweet spice, wood, toast, earth</t>
  </si>
  <si>
    <t>Dias de Gloria Brazil Toro</t>
  </si>
  <si>
    <t>Cedar, pepper, cocoa</t>
  </si>
  <si>
    <t>Dias de Gloria Robusto</t>
  </si>
  <si>
    <t>Dias de Gloria Toro</t>
  </si>
  <si>
    <t>Enclave Habano Figurado</t>
  </si>
  <si>
    <t>Figurado</t>
  </si>
  <si>
    <t>Cameroon</t>
  </si>
  <si>
    <t>Pepper, cedar</t>
  </si>
  <si>
    <t>Enclave Habano Toro</t>
  </si>
  <si>
    <t>New World Cameroon Toro</t>
  </si>
  <si>
    <t>Medium</t>
  </si>
  <si>
    <t>Sweet/spicy, wood, cocoa, cedar</t>
  </si>
  <si>
    <t>New World Dorado Figurado</t>
  </si>
  <si>
    <t>Habano (Nicaragua)</t>
  </si>
  <si>
    <t>Pepper, leather, cocoa, espresso</t>
  </si>
  <si>
    <t>New World Dorado Robusto</t>
  </si>
  <si>
    <t>Pepper, caramel, nuts</t>
  </si>
  <si>
    <t>New World Dorado Toro</t>
  </si>
  <si>
    <t>Spice, cedar, toasted nuts</t>
  </si>
  <si>
    <t>New World Oscuro Petit Corona (5‑Pack)</t>
  </si>
  <si>
    <t>Petit Corona</t>
  </si>
  <si>
    <t>Oscuro (Nicaragua)</t>
  </si>
  <si>
    <t>Jalapa (Nicaragua)</t>
  </si>
  <si>
    <t>Ometepe/Condega/Estelí (Nicaragua)</t>
  </si>
  <si>
    <t>Coffee, pepper, wood, chocolate</t>
  </si>
  <si>
    <t>The Lineage 770</t>
  </si>
  <si>
    <t>Gordo</t>
  </si>
  <si>
    <t>Honduras</t>
  </si>
  <si>
    <t>Honduran</t>
  </si>
  <si>
    <t>Honduras/Nicaragua</t>
  </si>
  <si>
    <t>Cedar, nuts, spice</t>
  </si>
  <si>
    <t>Alec Bradley</t>
  </si>
  <si>
    <t>Cavalry Edition As de Oro Toro</t>
  </si>
  <si>
    <t>Mexico</t>
  </si>
  <si>
    <t>Casa 1910</t>
  </si>
  <si>
    <t>Cavalry Edition Jilguero Gordo</t>
  </si>
  <si>
    <t>Cavalry Edition Lucero Torpedo</t>
  </si>
  <si>
    <t>Cocoa, earth</t>
  </si>
  <si>
    <t>Soldadera Edition Sampetrina Robusto</t>
  </si>
  <si>
    <t>Cypher 3311 Lorenz Diademas</t>
  </si>
  <si>
    <t>Diademas</t>
  </si>
  <si>
    <t>Costa Rica</t>
  </si>
  <si>
    <t>Casdagli</t>
  </si>
  <si>
    <t>Daughters of the Wind - Figurado</t>
  </si>
  <si>
    <t>Daughters of the Wind - Rabicano</t>
  </si>
  <si>
    <t>Villa Casdagli Pigasus</t>
  </si>
  <si>
    <t>Villa Casdagli Toro</t>
  </si>
  <si>
    <t>Maduro Genios</t>
  </si>
  <si>
    <t>Cuba</t>
  </si>
  <si>
    <t>Cuban</t>
  </si>
  <si>
    <t>Cocoa, molasses, coffee</t>
  </si>
  <si>
    <t>Cohiba</t>
  </si>
  <si>
    <t>Maduro Magicos</t>
  </si>
  <si>
    <t>Maduro Secretos</t>
  </si>
  <si>
    <t>Medio Siglo</t>
  </si>
  <si>
    <t>Petit Robusto</t>
  </si>
  <si>
    <t>Cream/cedar with cocoa &amp; spice notes</t>
  </si>
  <si>
    <t>Robustos - Reserva Cosecha 2014</t>
  </si>
  <si>
    <t>Siglo II</t>
  </si>
  <si>
    <t>Siglo III</t>
  </si>
  <si>
    <t>Corona</t>
  </si>
  <si>
    <t>Siglo IV</t>
  </si>
  <si>
    <t>Corona Gorda</t>
  </si>
  <si>
    <t>Siglo VI</t>
  </si>
  <si>
    <t>Red Label 24KT Golden Torpedo</t>
  </si>
  <si>
    <t>Torpedo (24KT)</t>
  </si>
  <si>
    <t>Gold leaf over Nicaraguan</t>
  </si>
  <si>
    <t>Smooth, cedar</t>
  </si>
  <si>
    <t>Daniel Marshall</t>
  </si>
  <si>
    <t>Red Label Churchill</t>
  </si>
  <si>
    <t>Churchill</t>
  </si>
  <si>
    <t>Ecuador Sumatra</t>
  </si>
  <si>
    <t>Cedar, coffee, sweet spice</t>
  </si>
  <si>
    <t>Red Label Gigante</t>
  </si>
  <si>
    <t>Gigante</t>
  </si>
  <si>
    <t>Red Label Robusto</t>
  </si>
  <si>
    <t>Capa de Sol - Sultan</t>
  </si>
  <si>
    <t>Dominican Republic</t>
  </si>
  <si>
    <t>Spice, leather</t>
  </si>
  <si>
    <t>EP Carrillo</t>
  </si>
  <si>
    <t>Dusk - Solidos (Gordo)</t>
  </si>
  <si>
    <t>USA Broadleaf</t>
  </si>
  <si>
    <t>Ecuador</t>
  </si>
  <si>
    <t>Chocolate, earth</t>
  </si>
  <si>
    <t>Dusk - Stout Toro</t>
  </si>
  <si>
    <t>Encore Edicion Unica I</t>
  </si>
  <si>
    <t>Nicaraguan</t>
  </si>
  <si>
    <t>Cedar, sweetness</t>
  </si>
  <si>
    <t>Encore Majestic</t>
  </si>
  <si>
    <t>Cedar, baking spice</t>
  </si>
  <si>
    <t>Encore Noir</t>
  </si>
  <si>
    <t>Endure - Robusto</t>
  </si>
  <si>
    <t>Essence Maduro - Robusto</t>
  </si>
  <si>
    <t>Maduro</t>
  </si>
  <si>
    <t>Dominican/Nicaraguan</t>
  </si>
  <si>
    <t>Cocoa, spice</t>
  </si>
  <si>
    <t>Essence Maduro - Toro</t>
  </si>
  <si>
    <t>Essence Sumatra - Robusto</t>
  </si>
  <si>
    <t>Sumatra</t>
  </si>
  <si>
    <t>Spice, wood</t>
  </si>
  <si>
    <t>Essence Sumatra - Toro</t>
  </si>
  <si>
    <t>INCH No. 64 Maduro</t>
  </si>
  <si>
    <t>Chocolate, pepper</t>
  </si>
  <si>
    <t>La Historia El Senador</t>
  </si>
  <si>
    <t>Chocolate, spice</t>
  </si>
  <si>
    <t>New Wave Connecticut</t>
  </si>
  <si>
    <t>Ecuador Connecticut</t>
  </si>
  <si>
    <t>Mild-Medium</t>
  </si>
  <si>
    <t>Cream, nuts</t>
  </si>
  <si>
    <t>New Wave Reserva Robusto</t>
  </si>
  <si>
    <t>Cream, toast</t>
  </si>
  <si>
    <t>Pledge - Prequel</t>
  </si>
  <si>
    <t>USA Connecticut Habano</t>
  </si>
  <si>
    <t>Triumph Trilogy</t>
  </si>
  <si>
    <t>Sampler</t>
  </si>
  <si>
    <t>Platinum Edition Discovery Collection</t>
  </si>
  <si>
    <t>El Septimo</t>
  </si>
  <si>
    <t>Sacred Art - Michelangelo Perfecto</t>
  </si>
  <si>
    <t>Perfecto</t>
  </si>
  <si>
    <t>Sacred Art - Rembrandt Torpedo</t>
  </si>
  <si>
    <t>Sacred Art - Salvador Dali Toro</t>
  </si>
  <si>
    <t>Travel Time Collection Paris</t>
  </si>
  <si>
    <t>Maduro Double Corona</t>
  </si>
  <si>
    <t>Double Corona</t>
  </si>
  <si>
    <t>Escobar</t>
  </si>
  <si>
    <t>Maduro Double Toro Gordo</t>
  </si>
  <si>
    <t>Maduro Robusto</t>
  </si>
  <si>
    <t>Chocolate, earth, pepper</t>
  </si>
  <si>
    <t>Maduro Sampler</t>
  </si>
  <si>
    <t>Natural Double Corona</t>
  </si>
  <si>
    <t>Natural</t>
  </si>
  <si>
    <t>Cedar, spice</t>
  </si>
  <si>
    <t>Natural Double Toro Gordo</t>
  </si>
  <si>
    <t>Natural Robusto</t>
  </si>
  <si>
    <t>Cedar, earth, pepper</t>
  </si>
  <si>
    <t>Cellar Reserve 15 year old - KOI</t>
  </si>
  <si>
    <t>Criollo 1998</t>
  </si>
  <si>
    <t>Dominican</t>
  </si>
  <si>
    <t>Oak, spice</t>
  </si>
  <si>
    <t>Gurkha</t>
  </si>
  <si>
    <t>Cellar Reserve 15 year old - Kraken</t>
  </si>
  <si>
    <t>Cellar Reserve 15 year old - Prisoner</t>
  </si>
  <si>
    <t>Cellar Reserve 15 year old - Solara (Dbl Corona)</t>
  </si>
  <si>
    <t>Cellar Reserve 18 Year old - Hedonism</t>
  </si>
  <si>
    <t>Corojo</t>
  </si>
  <si>
    <t>Spice, oak</t>
  </si>
  <si>
    <t>Cellar Reserve 18 Year old - KOI Perfecto</t>
  </si>
  <si>
    <t>Cellar Reserve 18 Year old - Kraken</t>
  </si>
  <si>
    <t>Cellar Reserve Crystal Kraken</t>
  </si>
  <si>
    <t>Oak, spice, leather</t>
  </si>
  <si>
    <t>Ghost Shadow</t>
  </si>
  <si>
    <t>Brazilian Arapiraca</t>
  </si>
  <si>
    <t>Cocoa, anise</t>
  </si>
  <si>
    <t>Godzilla Sampler</t>
  </si>
  <si>
    <t>Various</t>
  </si>
  <si>
    <t>Malt Collection</t>
  </si>
  <si>
    <t>Private Select Infused with Ron Abuelo</t>
  </si>
  <si>
    <t>Rum sweetness, oak</t>
  </si>
  <si>
    <t>Pure Evil - Robusto</t>
  </si>
  <si>
    <t>Pepper, dark chocolate</t>
  </si>
  <si>
    <t>Pure Evil - XO</t>
  </si>
  <si>
    <t>XO</t>
  </si>
  <si>
    <t>Revenant Maduro Robusto</t>
  </si>
  <si>
    <t>Cocoa, pepper</t>
  </si>
  <si>
    <t>Royal Challenge - Robusto</t>
  </si>
  <si>
    <t>San Miguel Petit Corona</t>
  </si>
  <si>
    <t>Nicaraguan Shade Grown Corojo</t>
  </si>
  <si>
    <t>San Miguel Robusto</t>
  </si>
  <si>
    <t>Seduction - Robusto</t>
  </si>
  <si>
    <t>Colombia</t>
  </si>
  <si>
    <t>Cocoa, fruit, spice</t>
  </si>
  <si>
    <t>Toro Fresh Pack - Sampler of 6</t>
  </si>
  <si>
    <t>Tyson Undisputed 2.0 Habano Gordo</t>
  </si>
  <si>
    <t>Habano</t>
  </si>
  <si>
    <t>Spice, toast</t>
  </si>
  <si>
    <t>H.Upmann Coronas Major</t>
  </si>
  <si>
    <t>Cedar, cream</t>
  </si>
  <si>
    <t>H. Upmann</t>
  </si>
  <si>
    <t>Epicure No.2</t>
  </si>
  <si>
    <t>Hoyo de Monterrey</t>
  </si>
  <si>
    <t>Cream, cedar</t>
  </si>
  <si>
    <t>Brevas</t>
  </si>
  <si>
    <t>Cedar, earth</t>
  </si>
  <si>
    <t>Jose L. Piedra</t>
  </si>
  <si>
    <t>Conservas</t>
  </si>
  <si>
    <t>Earth, spice</t>
  </si>
  <si>
    <t>Edmundo</t>
  </si>
  <si>
    <t>Robusto Extra</t>
  </si>
  <si>
    <t>Cedar, cocoa</t>
  </si>
  <si>
    <t>Montecristo</t>
  </si>
  <si>
    <t>Montecristo No. 2</t>
  </si>
  <si>
    <t>Montecristo No. 4</t>
  </si>
  <si>
    <t>Montecristo No. 5</t>
  </si>
  <si>
    <t>Perla</t>
  </si>
  <si>
    <t>Cedar, coffee</t>
  </si>
  <si>
    <t>Open Eagle</t>
  </si>
  <si>
    <t>Cedar, grass</t>
  </si>
  <si>
    <t>Open Master</t>
  </si>
  <si>
    <t>Cedar, nuts</t>
  </si>
  <si>
    <t>Flor de las Antillas - Belicoso</t>
  </si>
  <si>
    <t>Belicoso</t>
  </si>
  <si>
    <t>Nicaraguan Sun Grown</t>
  </si>
  <si>
    <t>Cocoa, cedar</t>
  </si>
  <si>
    <t>My Father</t>
  </si>
  <si>
    <t>Flor de las Antillas - Toro Tube</t>
  </si>
  <si>
    <t>Le Bijou 1922 - Grand Robusto</t>
  </si>
  <si>
    <t>Grand Robusto</t>
  </si>
  <si>
    <t>Nicaraguan Habano Oscuro</t>
  </si>
  <si>
    <t>Pepper, cocoa</t>
  </si>
  <si>
    <t>Nub 460 Cameroon</t>
  </si>
  <si>
    <t>Sweet spice, toast</t>
  </si>
  <si>
    <t>NUB</t>
  </si>
  <si>
    <t>Nub 460 Connecticut</t>
  </si>
  <si>
    <t>Nub 460 Habano / Sungrown</t>
  </si>
  <si>
    <t>Spice, cedar</t>
  </si>
  <si>
    <t>Nub 460 Maduro</t>
  </si>
  <si>
    <t>Nub 460 Sampler</t>
  </si>
  <si>
    <t>Connecticut Reserve Robusto</t>
  </si>
  <si>
    <t>Oliva</t>
  </si>
  <si>
    <t>Master Blends 3 - Robusto</t>
  </si>
  <si>
    <t>Connecticut Broadleaf</t>
  </si>
  <si>
    <t>Dark chocolate, spice</t>
  </si>
  <si>
    <t>Oliva Robusto Sampler</t>
  </si>
  <si>
    <t>Serie O Toro Tube</t>
  </si>
  <si>
    <t>Nicaraguan Habano</t>
  </si>
  <si>
    <t>Serie V 135th Anniversary LE</t>
  </si>
  <si>
    <t>Serie V Maduro Double Robusto</t>
  </si>
  <si>
    <t>Double Robusto</t>
  </si>
  <si>
    <t>Mexico San Andrés Maduro</t>
  </si>
  <si>
    <t>Cocoa, espresso</t>
  </si>
  <si>
    <t>Serie V Maduro Double Toro</t>
  </si>
  <si>
    <t>Double Toro</t>
  </si>
  <si>
    <t>Serie V Melanio Figurado</t>
  </si>
  <si>
    <t>Caramel, spice</t>
  </si>
  <si>
    <t>Serie V Melanio LE 2023 Figurino</t>
  </si>
  <si>
    <t>Serie V Melanio No. 4 Petit Corona</t>
  </si>
  <si>
    <t>Caramel, nuts</t>
  </si>
  <si>
    <t>Serie V Melanio Torpedo</t>
  </si>
  <si>
    <t>Caramel, wood</t>
  </si>
  <si>
    <t>Serie V Special Figurado</t>
  </si>
  <si>
    <t>Serie V Torpedo</t>
  </si>
  <si>
    <t>Pepper, leather</t>
  </si>
  <si>
    <t>2012 Corojo Short Robusto</t>
  </si>
  <si>
    <t>Corojo (Honduras)</t>
  </si>
  <si>
    <t>Oscar</t>
  </si>
  <si>
    <t>2012 Corojo Toro</t>
  </si>
  <si>
    <t>Altar Q - Toro Sumatra</t>
  </si>
  <si>
    <t>Spice, earth</t>
  </si>
  <si>
    <t>Ciseron Edition - Toro</t>
  </si>
  <si>
    <t>Leaf by Oscar - Robusto - Corojo</t>
  </si>
  <si>
    <t>Leaf by Oscar - Robusto - Maduro</t>
  </si>
  <si>
    <t>Leaf by Oscar - Sixty - Maduro</t>
  </si>
  <si>
    <t>Sixty</t>
  </si>
  <si>
    <t>Super Fly - Corona Maduro</t>
  </si>
  <si>
    <t>Super Fly - Gordo Maduro</t>
  </si>
  <si>
    <t>The Oscar Habano Toro</t>
  </si>
  <si>
    <t>The Oscar Maduro Toro</t>
  </si>
  <si>
    <t>Serie D No.4</t>
  </si>
  <si>
    <t>Partagas</t>
  </si>
  <si>
    <t>Serie D No.5</t>
  </si>
  <si>
    <t>Pepper, earth</t>
  </si>
  <si>
    <t>Serie E No.2</t>
  </si>
  <si>
    <t>Serie P No. 2</t>
  </si>
  <si>
    <t>Piramide</t>
  </si>
  <si>
    <t>Cedar, pepper</t>
  </si>
  <si>
    <t>Shorts</t>
  </si>
  <si>
    <t>Short</t>
  </si>
  <si>
    <t>Alma Campo Guajiro - Robusto Gordo</t>
  </si>
  <si>
    <t>Robusto Gordo</t>
  </si>
  <si>
    <t>Plasencia</t>
  </si>
  <si>
    <t>Alma Campo Madrono - Gordo</t>
  </si>
  <si>
    <t>Alma Campo Sendero - Toro Gordo</t>
  </si>
  <si>
    <t>Creamy spice</t>
  </si>
  <si>
    <t>Alma Fuerte Generacion V</t>
  </si>
  <si>
    <t>Salomon</t>
  </si>
  <si>
    <t>Nicaraguan Maduro</t>
  </si>
  <si>
    <t>Alma Fuerte Nestor IV - Toro</t>
  </si>
  <si>
    <t>Alma Fuerte Robustus I - Robusto</t>
  </si>
  <si>
    <t>Alma Fuerte Sixto I - Hexagon</t>
  </si>
  <si>
    <t>Sixto (6x60)</t>
  </si>
  <si>
    <t>Alma Fuerte Sixto II - Hexagono</t>
  </si>
  <si>
    <t>Alma del Fuego Candente - Robusto</t>
  </si>
  <si>
    <t>Sun Grown</t>
  </si>
  <si>
    <t>Pepper, mineral, citrus</t>
  </si>
  <si>
    <t>Alma del Fuego Concepcion - Toro</t>
  </si>
  <si>
    <t>Alma del Fuego Flama - Panatela</t>
  </si>
  <si>
    <t>Panatela</t>
  </si>
  <si>
    <t>Alma del Fuego Sampler</t>
  </si>
  <si>
    <t>Collection Robusto</t>
  </si>
  <si>
    <t>Cosecha 149 - Azacualpa</t>
  </si>
  <si>
    <t>Cosecha 149 - Cortez</t>
  </si>
  <si>
    <t>Sweet spice, wood</t>
  </si>
  <si>
    <t>Cosecha 149 - La Vega Robusto</t>
  </si>
  <si>
    <t>Cosecha 149 - Santa Fe</t>
  </si>
  <si>
    <t>Cosecha 151 La Musica - Robusto</t>
  </si>
  <si>
    <t>Cosecha 151 La Tradition - Toro</t>
  </si>
  <si>
    <t>Ehtefal 2022 Fifa World Cup</t>
  </si>
  <si>
    <t>Special</t>
  </si>
  <si>
    <t>Qatar</t>
  </si>
  <si>
    <t>Reserva Organica Piramide</t>
  </si>
  <si>
    <t>Sweet wood, nuts</t>
  </si>
  <si>
    <t>Reserva Original - Sampler 6</t>
  </si>
  <si>
    <t>Reserva Original Cortez</t>
  </si>
  <si>
    <t>Reserva Original Robusto</t>
  </si>
  <si>
    <t>Reserva Original Toro</t>
  </si>
  <si>
    <t>Blue Cheese - Toro</t>
  </si>
  <si>
    <t>Privada Cigars</t>
  </si>
  <si>
    <t>Cream Series - Figurado</t>
  </si>
  <si>
    <t>Fuego - Toro</t>
  </si>
  <si>
    <t>Hold Fast Habano - Toro</t>
  </si>
  <si>
    <t>Kings County Habano - Gordo</t>
  </si>
  <si>
    <t>1974 Robusto</t>
  </si>
  <si>
    <t>Citrus, nuts, spice</t>
  </si>
  <si>
    <t>Quesada</t>
  </si>
  <si>
    <t>50th Anniversary Toro Prensado</t>
  </si>
  <si>
    <t>Spice, cocoa</t>
  </si>
  <si>
    <t>Casa Magna Colorado Torito</t>
  </si>
  <si>
    <t>Torito</t>
  </si>
  <si>
    <t>Colorado (Nicaragua)</t>
  </si>
  <si>
    <t>Casa Magna Connecticut Robusto</t>
  </si>
  <si>
    <t>Casa Magna Liga F Toro</t>
  </si>
  <si>
    <t>Pepper, wood, cocoa</t>
  </si>
  <si>
    <t>Reserva Privada Robusto</t>
  </si>
  <si>
    <t>Connecticut Shade</t>
  </si>
  <si>
    <t>Reserva Privada Toro Gordo</t>
  </si>
  <si>
    <t>Quintero Brevas</t>
  </si>
  <si>
    <t>Sweet tobacco</t>
  </si>
  <si>
    <t>Quintero</t>
  </si>
  <si>
    <t>Cigar Smoking World Championship - Robusto</t>
  </si>
  <si>
    <t>Pepper, coffee</t>
  </si>
  <si>
    <t>Rocky Patel</t>
  </si>
  <si>
    <t>Cigar Smoking World Championship - Sixty</t>
  </si>
  <si>
    <t>Cigar Smoking World Championship - Toro</t>
  </si>
  <si>
    <t>Decade - Emperor</t>
  </si>
  <si>
    <t>Emperor</t>
  </si>
  <si>
    <t>Decade - Robusto</t>
  </si>
  <si>
    <t>Decade - Short Robusto</t>
  </si>
  <si>
    <t>Fifty-Five (55) - Corona</t>
  </si>
  <si>
    <t>Sweet spice, cocoa</t>
  </si>
  <si>
    <t>Fifty-Five (55) - Robusto</t>
  </si>
  <si>
    <t>Fifty-Five (55) - Toro</t>
  </si>
  <si>
    <t>Grand Reserve - Robusto</t>
  </si>
  <si>
    <t>Grand Reserve - Sixty</t>
  </si>
  <si>
    <t>LB1 - Robusto</t>
  </si>
  <si>
    <t>LB1 - Sixty</t>
  </si>
  <si>
    <t>Number 6 - Corona</t>
  </si>
  <si>
    <t>Honey, graham, citrus</t>
  </si>
  <si>
    <t>Number 6 - Robusto</t>
  </si>
  <si>
    <t>Quarter Century Sixty</t>
  </si>
  <si>
    <t>San Andrés Maduro</t>
  </si>
  <si>
    <t>Cocoa, oak, pepper</t>
  </si>
  <si>
    <t>Sixty - Robusto</t>
  </si>
  <si>
    <t>Sixty - Sixty</t>
  </si>
  <si>
    <t>Special Edition - Sixty</t>
  </si>
  <si>
    <t>Spice, coffee</t>
  </si>
  <si>
    <t>Special Edition - Toro</t>
  </si>
  <si>
    <t>Sungrown Maduro - Robusto</t>
  </si>
  <si>
    <t>Broadleaf Maduro</t>
  </si>
  <si>
    <t>Sungrown Maduro - Sixty</t>
  </si>
  <si>
    <t>White Label - Robusto</t>
  </si>
  <si>
    <t>USA Connecticut Shade</t>
  </si>
  <si>
    <t>Cream, vanilla, cedar</t>
  </si>
  <si>
    <t>White Label - Sixty</t>
  </si>
  <si>
    <t>Churchills</t>
  </si>
  <si>
    <t>Cedar, leather</t>
  </si>
  <si>
    <t>Romeo y Julieta</t>
  </si>
  <si>
    <t>Linea de Oro Hidalgos</t>
  </si>
  <si>
    <t>Romeo y Julieta No.2</t>
  </si>
  <si>
    <t>Cedar, floral</t>
  </si>
  <si>
    <t>Short Churchills</t>
  </si>
  <si>
    <t>Cedar, sweet spice</t>
  </si>
  <si>
    <t>Wide Churchills</t>
  </si>
  <si>
    <t>Short Tales - Tomo II</t>
  </si>
  <si>
    <t>Saga</t>
  </si>
  <si>
    <t>Short Tales - Tomo III</t>
  </si>
  <si>
    <t>Short Tales - Tomo VI</t>
  </si>
  <si>
    <t>Short Tales - Tomo VII</t>
  </si>
  <si>
    <t>Solaz Robusto</t>
  </si>
  <si>
    <t>Dominican/Nicaragua</t>
  </si>
  <si>
    <t>Cojonu 2003</t>
  </si>
  <si>
    <t>Tatuaje</t>
  </si>
  <si>
    <t>Regios</t>
  </si>
  <si>
    <t>Reserva J21</t>
  </si>
  <si>
    <t>Name:</t>
  </si>
  <si>
    <t>Vitola:</t>
  </si>
  <si>
    <t>Origin:</t>
  </si>
  <si>
    <t>Strength:</t>
  </si>
  <si>
    <t>ID:</t>
  </si>
  <si>
    <t>0925-01</t>
  </si>
  <si>
    <t>0925-01-1052</t>
  </si>
  <si>
    <t>0925-01-AJ-FERNANDEZ</t>
  </si>
  <si>
    <t>0925-01-TATUAJE</t>
  </si>
  <si>
    <t>0925-01-SAGA</t>
  </si>
  <si>
    <t>0925-01-ROMEA-Y-JULIETA</t>
  </si>
  <si>
    <t>0925-01-ROCKEY-PATEL</t>
  </si>
  <si>
    <t>0925-01-QUINTERO</t>
  </si>
  <si>
    <t>0925-01-QUESADA</t>
  </si>
  <si>
    <t>0925-01-PRIVADA</t>
  </si>
  <si>
    <t>0925-01-PLASENCIA</t>
  </si>
  <si>
    <t>0925-01-PARTAGAS</t>
  </si>
  <si>
    <t>0925-01-OSCAR</t>
  </si>
  <si>
    <t>0925-01-OLIVA</t>
  </si>
  <si>
    <t>0925-01-NUB</t>
  </si>
  <si>
    <t>0925-01-MY-FATHER</t>
  </si>
  <si>
    <t>0925-01-MONTECRISTO</t>
  </si>
  <si>
    <t>0925-01-JOSE-L-PIEDRA</t>
  </si>
  <si>
    <t>0925-01-HOYO-DE-MONTERREY</t>
  </si>
  <si>
    <t>0925-01-H-UPMANN</t>
  </si>
  <si>
    <t>0925-01-GURKHA</t>
  </si>
  <si>
    <t>0925-01-ESCOBAR</t>
  </si>
  <si>
    <t>0925-01-EL-SEPTO]IMO</t>
  </si>
  <si>
    <t>0925-01-EL-CARRILLO</t>
  </si>
  <si>
    <t>0925-01-DANIEL-MARSHALL</t>
  </si>
  <si>
    <t>0925-01-COHIBA</t>
  </si>
  <si>
    <t>0925-01-CASDAGLI</t>
  </si>
  <si>
    <t>0925-01-ALEC-BRADLEY</t>
  </si>
  <si>
    <t>0925-01-CASA-1910</t>
  </si>
  <si>
    <t>0925-01-CASA-1911</t>
  </si>
  <si>
    <t>0925-01-CASA-1912</t>
  </si>
  <si>
    <t>0925-01-CASA-1913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</si>
</sst>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6B728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u/>
      <sz val="11"/>
      <color rgb="FF0000FF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11111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8">
    <xf numFmtId="0" fontId="0" fillId="0" borderId="0" xfId="0"/>
    <xf numFmtId="0" fontId="1" fillId="0" borderId="0" xfId="0" applyFont="1"/>
    <xf numFmtId="0" fontId="2" fillId="0" borderId="0" xfId="0" applyFont="1"/>
    <xf numFmtId="0" fontId="3" fillId="2" borderId="1" xfId="0" applyFont="1" applyFill="1" applyBorder="1"/>
    <xf numFmtId="0" fontId="0" fillId="0" borderId="1" xfId="0" applyBorder="1"/>
    <xf numFmtId="0" fontId="4" fillId="0" borderId="0" xfId="0" applyFont="1"/>
    <xf numFmtId="0" fontId="6" fillId="0" borderId="1" xfId="1" applyBorder="1"/>
    <xf numFmtId="0" fontId="0" fillId="0" borderId="1" xfId="0" applyFont="1" applyBorder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25400</xdr:colOff>
      <xdr:row>0</xdr:row>
      <xdr:rowOff>25400</xdr:rowOff>
    </xdr:from>
    <xdr:to>
      <xdr:col>2</xdr:col>
      <xdr:colOff>215900</xdr:colOff>
      <xdr:row>9</xdr:row>
      <xdr:rowOff>88900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DA4D3D6-2E05-9EFB-F214-7382C85F56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500" y="25400"/>
          <a:ext cx="1778000" cy="1778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12"/>
  <sheetViews>
    <sheetView workbookViewId="0"/>
  </sheetViews>
  <sheetFormatPr baseColWidth="10" defaultColWidth="8.83203125" defaultRowHeight="15" x14ac:dyDescent="0.2"/>
  <cols>
    <col min="1" max="1" width="105.6640625" customWidth="1"/>
  </cols>
  <sheetData>
    <row r="1" spans="1:1" ht="19" x14ac:dyDescent="0.25">
      <c r="A1" s="1" t="s">
        <v>0</v>
      </c>
    </row>
    <row r="2" spans="1:1" x14ac:dyDescent="0.2">
      <c r="A2" s="2" t="s">
        <v>1</v>
      </c>
    </row>
    <row r="4" spans="1:1" x14ac:dyDescent="0.2">
      <c r="A4" t="s">
        <v>2</v>
      </c>
    </row>
    <row r="5" spans="1:1" x14ac:dyDescent="0.2">
      <c r="A5" t="s">
        <v>3</v>
      </c>
    </row>
    <row r="6" spans="1:1" x14ac:dyDescent="0.2">
      <c r="A6" t="s">
        <v>4</v>
      </c>
    </row>
    <row r="7" spans="1:1" x14ac:dyDescent="0.2">
      <c r="A7" t="s">
        <v>5</v>
      </c>
    </row>
    <row r="9" spans="1:1" x14ac:dyDescent="0.2">
      <c r="A9" t="s">
        <v>6</v>
      </c>
    </row>
    <row r="10" spans="1:1" x14ac:dyDescent="0.2">
      <c r="A10" t="s">
        <v>7</v>
      </c>
    </row>
    <row r="11" spans="1:1" x14ac:dyDescent="0.2">
      <c r="A11" t="s">
        <v>8</v>
      </c>
    </row>
    <row r="12" spans="1:1" x14ac:dyDescent="0.2">
      <c r="A12" t="s">
        <v>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2"/>
  <sheetViews>
    <sheetView workbookViewId="0">
      <selection activeCell="B3" sqref="B3"/>
    </sheetView>
  </sheetViews>
  <sheetFormatPr baseColWidth="10" defaultColWidth="8.83203125" defaultRowHeight="15" x14ac:dyDescent="0.2"/>
  <cols>
    <col min="1" max="1" width="22.6640625" customWidth="1"/>
    <col min="2" max="2" width="90.6640625" customWidth="1"/>
  </cols>
  <sheetData>
    <row r="1" spans="1:2" x14ac:dyDescent="0.2">
      <c r="A1" s="3" t="s">
        <v>10</v>
      </c>
      <c r="B1" s="3" t="s">
        <v>11</v>
      </c>
    </row>
    <row r="2" spans="1:2" x14ac:dyDescent="0.2">
      <c r="A2" s="4" t="s">
        <v>12</v>
      </c>
      <c r="B2" s="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O221"/>
  <sheetViews>
    <sheetView tabSelected="1" topLeftCell="J1" zoomScale="125" workbookViewId="0">
      <pane ySplit="1" topLeftCell="A164" activePane="bottomLeft" state="frozen"/>
      <selection pane="bottomLeft" activeCell="M224" sqref="M224"/>
    </sheetView>
  </sheetViews>
  <sheetFormatPr baseColWidth="10" defaultColWidth="8.83203125" defaultRowHeight="15" x14ac:dyDescent="0.2"/>
  <cols>
    <col min="1" max="1" width="12.6640625" customWidth="1"/>
    <col min="2" max="2" width="37.5" customWidth="1"/>
    <col min="3" max="3" width="12.5" customWidth="1"/>
    <col min="4" max="4" width="18" customWidth="1"/>
    <col min="5" max="5" width="20" customWidth="1"/>
    <col min="6" max="6" width="14.1640625" customWidth="1"/>
    <col min="7" max="7" width="20.33203125" customWidth="1"/>
    <col min="8" max="8" width="15.83203125" customWidth="1"/>
    <col min="9" max="9" width="4.1640625" customWidth="1"/>
    <col min="10" max="10" width="25.33203125" customWidth="1"/>
    <col min="11" max="11" width="26.6640625" customWidth="1"/>
    <col min="12" max="12" width="53.5" customWidth="1"/>
    <col min="13" max="13" width="33.1640625" customWidth="1"/>
    <col min="14" max="14" width="24.5" customWidth="1"/>
    <col min="15" max="15" width="20.6640625" customWidth="1"/>
  </cols>
  <sheetData>
    <row r="1" spans="1:15" x14ac:dyDescent="0.2">
      <c r="A1" s="3" t="s">
        <v>13</v>
      </c>
      <c r="B1" s="3" t="s">
        <v>14</v>
      </c>
      <c r="C1" s="3" t="s">
        <v>15</v>
      </c>
      <c r="D1" s="3" t="s">
        <v>16</v>
      </c>
      <c r="E1" s="3" t="s">
        <v>17</v>
      </c>
      <c r="F1" s="3" t="s">
        <v>18</v>
      </c>
      <c r="G1" s="3" t="s">
        <v>19</v>
      </c>
      <c r="H1" s="3" t="s">
        <v>20</v>
      </c>
      <c r="I1" s="3" t="s">
        <v>21</v>
      </c>
      <c r="J1" s="3" t="s">
        <v>22</v>
      </c>
      <c r="K1" s="3" t="s">
        <v>23</v>
      </c>
      <c r="L1" s="3" t="s">
        <v>24</v>
      </c>
      <c r="M1" s="3" t="s">
        <v>25</v>
      </c>
      <c r="N1" s="3" t="s">
        <v>26</v>
      </c>
      <c r="O1" s="3" t="s">
        <v>27</v>
      </c>
    </row>
    <row r="2" spans="1:15" x14ac:dyDescent="0.2">
      <c r="A2" s="4" t="s">
        <v>454</v>
      </c>
      <c r="B2" s="4" t="s">
        <v>28</v>
      </c>
      <c r="C2" s="4" t="s">
        <v>29</v>
      </c>
      <c r="D2" s="4" t="s">
        <v>30</v>
      </c>
      <c r="E2" s="4" t="s">
        <v>31</v>
      </c>
      <c r="F2" s="4" t="s">
        <v>32</v>
      </c>
      <c r="G2" s="4" t="s">
        <v>30</v>
      </c>
      <c r="H2" s="4" t="s">
        <v>33</v>
      </c>
      <c r="I2" s="4" t="s">
        <v>34</v>
      </c>
      <c r="J2" s="4"/>
      <c r="K2" s="4" t="s">
        <v>455</v>
      </c>
      <c r="L2" s="5" t="str">
        <f>IF(AND($K2&lt;&gt;"",Config!$B$2&lt;&gt;""), Config!$B$2 &amp; "?id=" &amp; $K2, "")</f>
        <v/>
      </c>
      <c r="M2" s="4"/>
      <c r="N2" s="4" t="str">
        <f t="shared" ref="N2:N65" ca="1" si="0">IF($L2&lt;&gt;"","https://api.qrserver.com/v1/create-qr-code/?size=200x200&amp;data=" &amp; SUBSTITUTE($L2," ","%20") &amp; "&amp;cb=" &amp; TEXT(NOW(),"yyyymmddhhmmss"),"")</f>
        <v/>
      </c>
      <c r="O2" s="4" t="s">
        <v>35</v>
      </c>
    </row>
    <row r="3" spans="1:15" x14ac:dyDescent="0.2">
      <c r="A3" s="4" t="s">
        <v>454</v>
      </c>
      <c r="B3" s="4">
        <v>92</v>
      </c>
      <c r="C3" s="4" t="s">
        <v>36</v>
      </c>
      <c r="D3" s="4" t="s">
        <v>30</v>
      </c>
      <c r="E3" s="4" t="s">
        <v>37</v>
      </c>
      <c r="F3" s="4" t="s">
        <v>37</v>
      </c>
      <c r="G3" s="4" t="s">
        <v>37</v>
      </c>
      <c r="H3" s="4" t="s">
        <v>37</v>
      </c>
      <c r="I3" s="4" t="s">
        <v>37</v>
      </c>
      <c r="J3" s="4"/>
      <c r="K3" s="4" t="s">
        <v>455</v>
      </c>
      <c r="L3" s="5" t="str">
        <f>IF(AND($K3&lt;&gt;"",Config!$B$2&lt;&gt;""), Config!$B$2 &amp; "?id=" &amp; $K3, "")</f>
        <v/>
      </c>
      <c r="M3" s="4"/>
      <c r="N3" s="4" t="str">
        <f t="shared" ca="1" si="0"/>
        <v/>
      </c>
      <c r="O3" s="4" t="s">
        <v>35</v>
      </c>
    </row>
    <row r="4" spans="1:15" x14ac:dyDescent="0.2">
      <c r="A4" s="4" t="s">
        <v>454</v>
      </c>
      <c r="B4" s="4" t="s">
        <v>38</v>
      </c>
      <c r="C4" s="4" t="s">
        <v>39</v>
      </c>
      <c r="D4" s="4" t="s">
        <v>30</v>
      </c>
      <c r="E4" s="4" t="s">
        <v>37</v>
      </c>
      <c r="F4" s="4" t="s">
        <v>37</v>
      </c>
      <c r="G4" s="4" t="s">
        <v>37</v>
      </c>
      <c r="H4" s="4" t="s">
        <v>37</v>
      </c>
      <c r="I4" s="4" t="s">
        <v>37</v>
      </c>
      <c r="J4" s="4"/>
      <c r="K4" s="4" t="s">
        <v>455</v>
      </c>
      <c r="L4" s="5" t="str">
        <f>IF(AND($K4&lt;&gt;"",Config!$B$2&lt;&gt;""), Config!$B$2 &amp; "?id=" &amp; $K4, "")</f>
        <v/>
      </c>
      <c r="M4" s="4"/>
      <c r="N4" s="4" t="str">
        <f t="shared" ca="1" si="0"/>
        <v/>
      </c>
      <c r="O4" s="4" t="s">
        <v>35</v>
      </c>
    </row>
    <row r="5" spans="1:15" x14ac:dyDescent="0.2">
      <c r="A5" s="4" t="s">
        <v>454</v>
      </c>
      <c r="B5" s="4" t="s">
        <v>40</v>
      </c>
      <c r="C5" s="4" t="s">
        <v>29</v>
      </c>
      <c r="D5" s="4" t="s">
        <v>30</v>
      </c>
      <c r="E5" s="4" t="s">
        <v>37</v>
      </c>
      <c r="F5" s="4" t="s">
        <v>37</v>
      </c>
      <c r="G5" s="4" t="s">
        <v>37</v>
      </c>
      <c r="H5" s="4" t="s">
        <v>37</v>
      </c>
      <c r="I5" s="4" t="s">
        <v>37</v>
      </c>
      <c r="J5" s="4"/>
      <c r="K5" s="4" t="s">
        <v>455</v>
      </c>
      <c r="L5" s="5" t="str">
        <f>IF(AND($K5&lt;&gt;"",Config!$B$2&lt;&gt;""), Config!$B$2 &amp; "?id=" &amp; $K5, "")</f>
        <v/>
      </c>
      <c r="M5" s="4"/>
      <c r="N5" s="4" t="str">
        <f t="shared" ca="1" si="0"/>
        <v/>
      </c>
      <c r="O5" s="4" t="s">
        <v>35</v>
      </c>
    </row>
    <row r="6" spans="1:15" x14ac:dyDescent="0.2">
      <c r="A6" s="4" t="s">
        <v>454</v>
      </c>
      <c r="B6" s="4" t="s">
        <v>41</v>
      </c>
      <c r="C6" s="4" t="s">
        <v>42</v>
      </c>
      <c r="D6" s="4" t="s">
        <v>30</v>
      </c>
      <c r="E6" s="4" t="s">
        <v>37</v>
      </c>
      <c r="F6" s="4" t="s">
        <v>37</v>
      </c>
      <c r="G6" s="4" t="s">
        <v>37</v>
      </c>
      <c r="H6" s="4" t="s">
        <v>37</v>
      </c>
      <c r="I6" s="4" t="s">
        <v>37</v>
      </c>
      <c r="J6" s="4"/>
      <c r="K6" s="4" t="s">
        <v>455</v>
      </c>
      <c r="L6" s="5" t="str">
        <f>IF(AND($K6&lt;&gt;"",Config!$B$2&lt;&gt;""), Config!$B$2 &amp; "?id=" &amp; $K6, "")</f>
        <v/>
      </c>
      <c r="M6" s="4"/>
      <c r="N6" s="4" t="str">
        <f t="shared" ca="1" si="0"/>
        <v/>
      </c>
      <c r="O6" s="4" t="s">
        <v>35</v>
      </c>
    </row>
    <row r="7" spans="1:15" x14ac:dyDescent="0.2">
      <c r="A7" s="4" t="s">
        <v>454</v>
      </c>
      <c r="B7" s="4" t="s">
        <v>43</v>
      </c>
      <c r="C7" s="4" t="s">
        <v>44</v>
      </c>
      <c r="D7" s="4" t="s">
        <v>30</v>
      </c>
      <c r="E7" s="4" t="s">
        <v>37</v>
      </c>
      <c r="F7" s="4" t="s">
        <v>37</v>
      </c>
      <c r="G7" s="4" t="s">
        <v>37</v>
      </c>
      <c r="H7" s="4" t="s">
        <v>37</v>
      </c>
      <c r="I7" s="4" t="s">
        <v>37</v>
      </c>
      <c r="J7" s="4"/>
      <c r="K7" s="4" t="s">
        <v>455</v>
      </c>
      <c r="L7" s="5" t="str">
        <f>IF(AND($K7&lt;&gt;"",Config!$B$2&lt;&gt;""), Config!$B$2 &amp; "?id=" &amp; $K7, "")</f>
        <v/>
      </c>
      <c r="M7" s="4"/>
      <c r="N7" s="4" t="str">
        <f t="shared" ca="1" si="0"/>
        <v/>
      </c>
      <c r="O7" s="4" t="s">
        <v>35</v>
      </c>
    </row>
    <row r="8" spans="1:15" x14ac:dyDescent="0.2">
      <c r="A8" s="4" t="s">
        <v>454</v>
      </c>
      <c r="B8" s="4" t="s">
        <v>45</v>
      </c>
      <c r="C8" s="4" t="s">
        <v>46</v>
      </c>
      <c r="D8" s="4" t="s">
        <v>30</v>
      </c>
      <c r="E8" s="4" t="s">
        <v>37</v>
      </c>
      <c r="F8" s="4" t="s">
        <v>37</v>
      </c>
      <c r="G8" s="4" t="s">
        <v>37</v>
      </c>
      <c r="H8" s="4" t="s">
        <v>37</v>
      </c>
      <c r="I8" s="4" t="s">
        <v>37</v>
      </c>
      <c r="J8" s="4"/>
      <c r="K8" s="4" t="s">
        <v>455</v>
      </c>
      <c r="L8" s="5" t="str">
        <f>IF(AND($K8&lt;&gt;"",Config!$B$2&lt;&gt;""), Config!$B$2 &amp; "?id=" &amp; $K8, "")</f>
        <v/>
      </c>
      <c r="M8" s="4"/>
      <c r="N8" s="4" t="str">
        <f t="shared" ca="1" si="0"/>
        <v/>
      </c>
      <c r="O8" s="4" t="s">
        <v>35</v>
      </c>
    </row>
    <row r="9" spans="1:15" x14ac:dyDescent="0.2">
      <c r="A9" s="4" t="s">
        <v>454</v>
      </c>
      <c r="B9" s="4" t="s">
        <v>47</v>
      </c>
      <c r="C9" s="4" t="s">
        <v>48</v>
      </c>
      <c r="D9" s="4" t="s">
        <v>30</v>
      </c>
      <c r="E9" s="4" t="s">
        <v>30</v>
      </c>
      <c r="F9" s="4" t="s">
        <v>30</v>
      </c>
      <c r="G9" s="4" t="s">
        <v>30</v>
      </c>
      <c r="H9" s="4" t="s">
        <v>33</v>
      </c>
      <c r="I9" s="4" t="s">
        <v>49</v>
      </c>
      <c r="J9" s="4"/>
      <c r="K9" s="4" t="s">
        <v>456</v>
      </c>
      <c r="L9" s="5" t="str">
        <f>IF(AND($K9&lt;&gt;"",Config!$B$2&lt;&gt;""), Config!$B$2 &amp; "?id=" &amp; $K9, "")</f>
        <v/>
      </c>
      <c r="M9" s="4"/>
      <c r="N9" s="4" t="str">
        <f t="shared" ca="1" si="0"/>
        <v/>
      </c>
      <c r="O9" s="4" t="s">
        <v>50</v>
      </c>
    </row>
    <row r="10" spans="1:15" x14ac:dyDescent="0.2">
      <c r="A10" s="4" t="s">
        <v>454</v>
      </c>
      <c r="B10" s="4" t="s">
        <v>51</v>
      </c>
      <c r="C10" s="4" t="s">
        <v>29</v>
      </c>
      <c r="D10" s="4" t="s">
        <v>30</v>
      </c>
      <c r="E10" s="4" t="s">
        <v>30</v>
      </c>
      <c r="F10" s="4" t="s">
        <v>30</v>
      </c>
      <c r="G10" s="4" t="s">
        <v>30</v>
      </c>
      <c r="H10" s="4" t="s">
        <v>33</v>
      </c>
      <c r="I10" s="4" t="s">
        <v>52</v>
      </c>
      <c r="J10" s="4"/>
      <c r="K10" s="4" t="s">
        <v>456</v>
      </c>
      <c r="L10" s="5" t="str">
        <f>IF(AND($K10&lt;&gt;"",Config!$B$2&lt;&gt;""), Config!$B$2 &amp; "?id=" &amp; $K10, "")</f>
        <v/>
      </c>
      <c r="M10" s="4"/>
      <c r="N10" s="4" t="str">
        <f t="shared" ca="1" si="0"/>
        <v/>
      </c>
      <c r="O10" s="4" t="s">
        <v>50</v>
      </c>
    </row>
    <row r="11" spans="1:15" x14ac:dyDescent="0.2">
      <c r="A11" s="4" t="s">
        <v>454</v>
      </c>
      <c r="B11" s="4" t="s">
        <v>53</v>
      </c>
      <c r="C11" s="4" t="s">
        <v>46</v>
      </c>
      <c r="D11" s="4" t="s">
        <v>30</v>
      </c>
      <c r="E11" s="4" t="s">
        <v>54</v>
      </c>
      <c r="F11" s="4" t="s">
        <v>55</v>
      </c>
      <c r="G11" s="4" t="s">
        <v>56</v>
      </c>
      <c r="H11" s="4" t="s">
        <v>33</v>
      </c>
      <c r="I11" s="4" t="s">
        <v>57</v>
      </c>
      <c r="J11" s="4"/>
      <c r="K11" s="4" t="s">
        <v>456</v>
      </c>
      <c r="L11" s="5" t="str">
        <f>IF(AND($K11&lt;&gt;"",Config!$B$2&lt;&gt;""), Config!$B$2 &amp; "?id=" &amp; $K11, "")</f>
        <v/>
      </c>
      <c r="M11" s="4"/>
      <c r="N11" s="4" t="str">
        <f t="shared" ca="1" si="0"/>
        <v/>
      </c>
      <c r="O11" s="4" t="s">
        <v>50</v>
      </c>
    </row>
    <row r="12" spans="1:15" x14ac:dyDescent="0.2">
      <c r="A12" s="4" t="s">
        <v>454</v>
      </c>
      <c r="B12" s="4" t="s">
        <v>58</v>
      </c>
      <c r="C12" s="4" t="s">
        <v>29</v>
      </c>
      <c r="D12" s="4" t="s">
        <v>30</v>
      </c>
      <c r="E12" s="4" t="s">
        <v>54</v>
      </c>
      <c r="F12" s="4" t="s">
        <v>55</v>
      </c>
      <c r="G12" s="4" t="s">
        <v>56</v>
      </c>
      <c r="H12" s="4" t="s">
        <v>33</v>
      </c>
      <c r="I12" s="4" t="s">
        <v>57</v>
      </c>
      <c r="J12" s="4"/>
      <c r="K12" s="4" t="s">
        <v>456</v>
      </c>
      <c r="L12" s="5" t="str">
        <f>IF(AND($K12&lt;&gt;"",Config!$B$2&lt;&gt;""), Config!$B$2 &amp; "?id=" &amp; $K12, "")</f>
        <v/>
      </c>
      <c r="M12" s="4"/>
      <c r="N12" s="4" t="str">
        <f t="shared" ca="1" si="0"/>
        <v/>
      </c>
      <c r="O12" s="4" t="s">
        <v>50</v>
      </c>
    </row>
    <row r="13" spans="1:15" x14ac:dyDescent="0.2">
      <c r="A13" s="4" t="s">
        <v>454</v>
      </c>
      <c r="B13" s="4" t="s">
        <v>59</v>
      </c>
      <c r="C13" s="4" t="s">
        <v>46</v>
      </c>
      <c r="D13" s="4" t="s">
        <v>30</v>
      </c>
      <c r="E13" s="4" t="s">
        <v>60</v>
      </c>
      <c r="F13" s="4" t="s">
        <v>61</v>
      </c>
      <c r="G13" s="4" t="s">
        <v>30</v>
      </c>
      <c r="H13" s="4" t="s">
        <v>62</v>
      </c>
      <c r="I13" s="4" t="s">
        <v>63</v>
      </c>
      <c r="J13" s="4"/>
      <c r="K13" s="4" t="s">
        <v>456</v>
      </c>
      <c r="L13" s="5" t="str">
        <f>IF(AND($K13&lt;&gt;"",Config!$B$2&lt;&gt;""), Config!$B$2 &amp; "?id=" &amp; $K13, "")</f>
        <v/>
      </c>
      <c r="M13" s="4"/>
      <c r="N13" s="4" t="str">
        <f t="shared" ca="1" si="0"/>
        <v/>
      </c>
      <c r="O13" s="4" t="s">
        <v>50</v>
      </c>
    </row>
    <row r="14" spans="1:15" x14ac:dyDescent="0.2">
      <c r="A14" s="4" t="s">
        <v>454</v>
      </c>
      <c r="B14" s="4" t="s">
        <v>64</v>
      </c>
      <c r="C14" s="4" t="s">
        <v>46</v>
      </c>
      <c r="D14" s="4" t="s">
        <v>30</v>
      </c>
      <c r="E14" s="4" t="s">
        <v>60</v>
      </c>
      <c r="F14" s="4" t="s">
        <v>30</v>
      </c>
      <c r="G14" s="4" t="s">
        <v>30</v>
      </c>
      <c r="H14" s="4" t="s">
        <v>33</v>
      </c>
      <c r="I14" s="4" t="s">
        <v>65</v>
      </c>
      <c r="J14" s="4"/>
      <c r="K14" s="4" t="s">
        <v>456</v>
      </c>
      <c r="L14" s="5" t="str">
        <f>IF(AND($K14&lt;&gt;"",Config!$B$2&lt;&gt;""), Config!$B$2 &amp; "?id=" &amp; $K14, "")</f>
        <v/>
      </c>
      <c r="M14" s="4"/>
      <c r="N14" s="4" t="str">
        <f t="shared" ca="1" si="0"/>
        <v/>
      </c>
      <c r="O14" s="4" t="s">
        <v>50</v>
      </c>
    </row>
    <row r="15" spans="1:15" x14ac:dyDescent="0.2">
      <c r="A15" s="4" t="s">
        <v>454</v>
      </c>
      <c r="B15" s="4" t="s">
        <v>66</v>
      </c>
      <c r="C15" s="4" t="s">
        <v>29</v>
      </c>
      <c r="D15" s="4" t="s">
        <v>30</v>
      </c>
      <c r="E15" s="4" t="s">
        <v>60</v>
      </c>
      <c r="F15" s="4" t="s">
        <v>30</v>
      </c>
      <c r="G15" s="4" t="s">
        <v>30</v>
      </c>
      <c r="H15" s="4" t="s">
        <v>33</v>
      </c>
      <c r="I15" s="4" t="s">
        <v>67</v>
      </c>
      <c r="J15" s="4"/>
      <c r="K15" s="4" t="s">
        <v>456</v>
      </c>
      <c r="L15" s="5" t="str">
        <f>IF(AND($K15&lt;&gt;"",Config!$B$2&lt;&gt;""), Config!$B$2 &amp; "?id=" &amp; $K15, "")</f>
        <v/>
      </c>
      <c r="M15" s="4"/>
      <c r="N15" s="4" t="str">
        <f t="shared" ca="1" si="0"/>
        <v/>
      </c>
      <c r="O15" s="4" t="s">
        <v>50</v>
      </c>
    </row>
    <row r="16" spans="1:15" x14ac:dyDescent="0.2">
      <c r="A16" s="4" t="s">
        <v>454</v>
      </c>
      <c r="B16" s="4" t="s">
        <v>68</v>
      </c>
      <c r="C16" s="4" t="s">
        <v>46</v>
      </c>
      <c r="D16" s="4" t="s">
        <v>30</v>
      </c>
      <c r="E16" s="4" t="s">
        <v>37</v>
      </c>
      <c r="F16" s="4" t="s">
        <v>37</v>
      </c>
      <c r="G16" s="4" t="s">
        <v>37</v>
      </c>
      <c r="H16" s="4" t="s">
        <v>37</v>
      </c>
      <c r="I16" s="4" t="s">
        <v>37</v>
      </c>
      <c r="J16" s="4"/>
      <c r="K16" s="4" t="s">
        <v>456</v>
      </c>
      <c r="L16" s="5" t="str">
        <f>IF(AND($K16&lt;&gt;"",Config!$B$2&lt;&gt;""), Config!$B$2 &amp; "?id=" &amp; $K16, "")</f>
        <v/>
      </c>
      <c r="M16" s="4"/>
      <c r="N16" s="4" t="str">
        <f t="shared" ca="1" si="0"/>
        <v/>
      </c>
      <c r="O16" s="4" t="s">
        <v>50</v>
      </c>
    </row>
    <row r="17" spans="1:15" x14ac:dyDescent="0.2">
      <c r="A17" s="4" t="s">
        <v>454</v>
      </c>
      <c r="B17" s="4" t="s">
        <v>69</v>
      </c>
      <c r="C17" s="4" t="s">
        <v>29</v>
      </c>
      <c r="D17" s="4" t="s">
        <v>30</v>
      </c>
      <c r="E17" s="4" t="s">
        <v>37</v>
      </c>
      <c r="F17" s="4" t="s">
        <v>37</v>
      </c>
      <c r="G17" s="4" t="s">
        <v>37</v>
      </c>
      <c r="H17" s="4" t="s">
        <v>37</v>
      </c>
      <c r="I17" s="4" t="s">
        <v>37</v>
      </c>
      <c r="J17" s="4"/>
      <c r="K17" s="4" t="s">
        <v>456</v>
      </c>
      <c r="L17" s="5" t="str">
        <f>IF(AND($K17&lt;&gt;"",Config!$B$2&lt;&gt;""), Config!$B$2 &amp; "?id=" &amp; $K17, "")</f>
        <v/>
      </c>
      <c r="M17" s="4"/>
      <c r="N17" s="4" t="str">
        <f t="shared" ca="1" si="0"/>
        <v/>
      </c>
      <c r="O17" s="4" t="s">
        <v>50</v>
      </c>
    </row>
    <row r="18" spans="1:15" x14ac:dyDescent="0.2">
      <c r="A18" s="4" t="s">
        <v>454</v>
      </c>
      <c r="B18" s="4" t="s">
        <v>70</v>
      </c>
      <c r="C18" s="4" t="s">
        <v>71</v>
      </c>
      <c r="D18" s="4" t="s">
        <v>30</v>
      </c>
      <c r="E18" s="4" t="s">
        <v>31</v>
      </c>
      <c r="F18" s="4" t="s">
        <v>72</v>
      </c>
      <c r="G18" s="4" t="s">
        <v>30</v>
      </c>
      <c r="H18" s="4" t="s">
        <v>33</v>
      </c>
      <c r="I18" s="4" t="s">
        <v>73</v>
      </c>
      <c r="J18" s="4"/>
      <c r="K18" s="4" t="s">
        <v>456</v>
      </c>
      <c r="L18" s="5" t="str">
        <f>IF(AND($K18&lt;&gt;"",Config!$B$2&lt;&gt;""), Config!$B$2 &amp; "?id=" &amp; $K18, "")</f>
        <v/>
      </c>
      <c r="M18" s="4"/>
      <c r="N18" s="4" t="str">
        <f t="shared" ca="1" si="0"/>
        <v/>
      </c>
      <c r="O18" s="4" t="s">
        <v>50</v>
      </c>
    </row>
    <row r="19" spans="1:15" x14ac:dyDescent="0.2">
      <c r="A19" s="4" t="s">
        <v>454</v>
      </c>
      <c r="B19" s="4" t="s">
        <v>74</v>
      </c>
      <c r="C19" s="4" t="s">
        <v>29</v>
      </c>
      <c r="D19" s="4" t="s">
        <v>30</v>
      </c>
      <c r="E19" s="4" t="s">
        <v>31</v>
      </c>
      <c r="F19" s="4" t="s">
        <v>72</v>
      </c>
      <c r="G19" s="4" t="s">
        <v>30</v>
      </c>
      <c r="H19" s="4" t="s">
        <v>33</v>
      </c>
      <c r="I19" s="4" t="s">
        <v>73</v>
      </c>
      <c r="J19" s="4"/>
      <c r="K19" s="4" t="s">
        <v>456</v>
      </c>
      <c r="L19" s="5" t="str">
        <f>IF(AND($K19&lt;&gt;"",Config!$B$2&lt;&gt;""), Config!$B$2 &amp; "?id=" &amp; $K19, "")</f>
        <v/>
      </c>
      <c r="M19" s="4"/>
      <c r="N19" s="4" t="str">
        <f t="shared" ca="1" si="0"/>
        <v/>
      </c>
      <c r="O19" s="4" t="s">
        <v>50</v>
      </c>
    </row>
    <row r="20" spans="1:15" x14ac:dyDescent="0.2">
      <c r="A20" s="4" t="s">
        <v>454</v>
      </c>
      <c r="B20" s="4" t="s">
        <v>75</v>
      </c>
      <c r="C20" s="4" t="s">
        <v>29</v>
      </c>
      <c r="D20" s="4" t="s">
        <v>30</v>
      </c>
      <c r="E20" s="4" t="s">
        <v>72</v>
      </c>
      <c r="F20" s="4" t="s">
        <v>30</v>
      </c>
      <c r="G20" s="4" t="s">
        <v>30</v>
      </c>
      <c r="H20" s="4" t="s">
        <v>76</v>
      </c>
      <c r="I20" s="4" t="s">
        <v>77</v>
      </c>
      <c r="J20" s="4"/>
      <c r="K20" s="4" t="s">
        <v>456</v>
      </c>
      <c r="L20" s="5" t="str">
        <f>IF(AND($K20&lt;&gt;"",Config!$B$2&lt;&gt;""), Config!$B$2 &amp; "?id=" &amp; $K20, "")</f>
        <v/>
      </c>
      <c r="M20" s="4"/>
      <c r="N20" s="4" t="str">
        <f t="shared" ca="1" si="0"/>
        <v/>
      </c>
      <c r="O20" s="4" t="s">
        <v>50</v>
      </c>
    </row>
    <row r="21" spans="1:15" x14ac:dyDescent="0.2">
      <c r="A21" s="4" t="s">
        <v>454</v>
      </c>
      <c r="B21" s="4" t="s">
        <v>78</v>
      </c>
      <c r="C21" s="4" t="s">
        <v>71</v>
      </c>
      <c r="D21" s="4" t="s">
        <v>30</v>
      </c>
      <c r="E21" s="4" t="s">
        <v>79</v>
      </c>
      <c r="F21" s="4" t="s">
        <v>30</v>
      </c>
      <c r="G21" s="4" t="s">
        <v>30</v>
      </c>
      <c r="H21" s="4" t="s">
        <v>33</v>
      </c>
      <c r="I21" s="4" t="s">
        <v>80</v>
      </c>
      <c r="J21" s="4"/>
      <c r="K21" s="4" t="s">
        <v>456</v>
      </c>
      <c r="L21" s="5" t="str">
        <f>IF(AND($K21&lt;&gt;"",Config!$B$2&lt;&gt;""), Config!$B$2 &amp; "?id=" &amp; $K21, "")</f>
        <v/>
      </c>
      <c r="M21" s="4"/>
      <c r="N21" s="4" t="str">
        <f t="shared" ca="1" si="0"/>
        <v/>
      </c>
      <c r="O21" s="4" t="s">
        <v>50</v>
      </c>
    </row>
    <row r="22" spans="1:15" x14ac:dyDescent="0.2">
      <c r="A22" s="4" t="s">
        <v>454</v>
      </c>
      <c r="B22" s="4" t="s">
        <v>81</v>
      </c>
      <c r="C22" s="4" t="s">
        <v>46</v>
      </c>
      <c r="D22" s="4" t="s">
        <v>30</v>
      </c>
      <c r="E22" s="4" t="s">
        <v>79</v>
      </c>
      <c r="F22" s="4" t="s">
        <v>30</v>
      </c>
      <c r="G22" s="4" t="s">
        <v>30</v>
      </c>
      <c r="H22" s="4" t="s">
        <v>33</v>
      </c>
      <c r="I22" s="4" t="s">
        <v>82</v>
      </c>
      <c r="J22" s="4"/>
      <c r="K22" s="4" t="s">
        <v>456</v>
      </c>
      <c r="L22" s="5" t="str">
        <f>IF(AND($K22&lt;&gt;"",Config!$B$2&lt;&gt;""), Config!$B$2 &amp; "?id=" &amp; $K22, "")</f>
        <v/>
      </c>
      <c r="M22" s="4"/>
      <c r="N22" s="4" t="str">
        <f t="shared" ca="1" si="0"/>
        <v/>
      </c>
      <c r="O22" s="4" t="s">
        <v>50</v>
      </c>
    </row>
    <row r="23" spans="1:15" x14ac:dyDescent="0.2">
      <c r="A23" s="4" t="s">
        <v>454</v>
      </c>
      <c r="B23" s="4" t="s">
        <v>83</v>
      </c>
      <c r="C23" s="4" t="s">
        <v>29</v>
      </c>
      <c r="D23" s="4" t="s">
        <v>30</v>
      </c>
      <c r="E23" s="4" t="s">
        <v>79</v>
      </c>
      <c r="F23" s="4" t="s">
        <v>30</v>
      </c>
      <c r="G23" s="4" t="s">
        <v>30</v>
      </c>
      <c r="H23" s="4" t="s">
        <v>33</v>
      </c>
      <c r="I23" s="4" t="s">
        <v>84</v>
      </c>
      <c r="J23" s="4"/>
      <c r="K23" s="4" t="s">
        <v>456</v>
      </c>
      <c r="L23" s="5" t="str">
        <f>IF(AND($K23&lt;&gt;"",Config!$B$2&lt;&gt;""), Config!$B$2 &amp; "?id=" &amp; $K23, "")</f>
        <v/>
      </c>
      <c r="M23" s="4"/>
      <c r="N23" s="4" t="str">
        <f t="shared" ca="1" si="0"/>
        <v/>
      </c>
      <c r="O23" s="4" t="s">
        <v>50</v>
      </c>
    </row>
    <row r="24" spans="1:15" x14ac:dyDescent="0.2">
      <c r="A24" s="4" t="s">
        <v>454</v>
      </c>
      <c r="B24" s="4" t="s">
        <v>85</v>
      </c>
      <c r="C24" s="4" t="s">
        <v>86</v>
      </c>
      <c r="D24" s="4" t="s">
        <v>30</v>
      </c>
      <c r="E24" s="4" t="s">
        <v>87</v>
      </c>
      <c r="F24" s="4" t="s">
        <v>88</v>
      </c>
      <c r="G24" s="4" t="s">
        <v>89</v>
      </c>
      <c r="H24" s="4" t="s">
        <v>33</v>
      </c>
      <c r="I24" s="4" t="s">
        <v>90</v>
      </c>
      <c r="J24" s="4"/>
      <c r="K24" s="4" t="s">
        <v>456</v>
      </c>
      <c r="L24" s="5" t="str">
        <f>IF(AND($K24&lt;&gt;"",Config!$B$2&lt;&gt;""), Config!$B$2 &amp; "?id=" &amp; $K24, "")</f>
        <v/>
      </c>
      <c r="M24" s="4"/>
      <c r="N24" s="4" t="str">
        <f t="shared" ca="1" si="0"/>
        <v/>
      </c>
      <c r="O24" s="4" t="s">
        <v>50</v>
      </c>
    </row>
    <row r="25" spans="1:15" x14ac:dyDescent="0.2">
      <c r="A25" s="4" t="s">
        <v>454</v>
      </c>
      <c r="B25" s="4" t="s">
        <v>91</v>
      </c>
      <c r="C25" s="4" t="s">
        <v>92</v>
      </c>
      <c r="D25" s="4" t="s">
        <v>93</v>
      </c>
      <c r="E25" s="4" t="s">
        <v>94</v>
      </c>
      <c r="F25" s="4" t="s">
        <v>30</v>
      </c>
      <c r="G25" s="4" t="s">
        <v>95</v>
      </c>
      <c r="H25" s="4" t="s">
        <v>76</v>
      </c>
      <c r="I25" s="4" t="s">
        <v>96</v>
      </c>
      <c r="J25" s="4"/>
      <c r="K25" s="7" t="s">
        <v>481</v>
      </c>
      <c r="L25" s="5" t="str">
        <f>IF(AND($K25&lt;&gt;"",Config!$B$2&lt;&gt;""), Config!$B$2 &amp; "?id=" &amp; $K25, "")</f>
        <v/>
      </c>
      <c r="M25" s="4"/>
      <c r="N25" s="4" t="str">
        <f t="shared" ca="1" si="0"/>
        <v/>
      </c>
      <c r="O25" s="4" t="s">
        <v>97</v>
      </c>
    </row>
    <row r="26" spans="1:15" x14ac:dyDescent="0.2">
      <c r="A26" s="4" t="s">
        <v>454</v>
      </c>
      <c r="B26" s="4" t="s">
        <v>98</v>
      </c>
      <c r="C26" s="4" t="s">
        <v>29</v>
      </c>
      <c r="D26" s="4" t="s">
        <v>99</v>
      </c>
      <c r="E26" s="4" t="s">
        <v>37</v>
      </c>
      <c r="F26" s="4" t="s">
        <v>37</v>
      </c>
      <c r="G26" s="4" t="s">
        <v>37</v>
      </c>
      <c r="H26" s="4" t="s">
        <v>37</v>
      </c>
      <c r="I26" s="4" t="s">
        <v>37</v>
      </c>
      <c r="J26" s="4"/>
      <c r="K26" s="4" t="s">
        <v>482</v>
      </c>
      <c r="L26" s="5" t="str">
        <f>IF(AND($K26&lt;&gt;"",Config!$B$2&lt;&gt;""), Config!$B$2 &amp; "?id=" &amp; $K26, "")</f>
        <v/>
      </c>
      <c r="M26" s="4"/>
      <c r="N26" s="4" t="str">
        <f t="shared" ca="1" si="0"/>
        <v/>
      </c>
      <c r="O26" s="4" t="s">
        <v>100</v>
      </c>
    </row>
    <row r="27" spans="1:15" x14ac:dyDescent="0.2">
      <c r="A27" s="4" t="s">
        <v>454</v>
      </c>
      <c r="B27" s="4" t="s">
        <v>101</v>
      </c>
      <c r="C27" s="4" t="s">
        <v>92</v>
      </c>
      <c r="D27" s="4" t="s">
        <v>99</v>
      </c>
      <c r="E27" s="4" t="s">
        <v>37</v>
      </c>
      <c r="F27" s="4" t="s">
        <v>37</v>
      </c>
      <c r="G27" s="4" t="s">
        <v>37</v>
      </c>
      <c r="H27" s="4" t="s">
        <v>37</v>
      </c>
      <c r="I27" s="4" t="s">
        <v>37</v>
      </c>
      <c r="J27" s="4"/>
      <c r="K27" s="4" t="s">
        <v>483</v>
      </c>
      <c r="L27" s="5" t="str">
        <f>IF(AND($K27&lt;&gt;"",Config!$B$2&lt;&gt;""), Config!$B$2 &amp; "?id=" &amp; $K27, "")</f>
        <v/>
      </c>
      <c r="M27" s="4"/>
      <c r="N27" s="4" t="str">
        <f t="shared" ca="1" si="0"/>
        <v/>
      </c>
      <c r="O27" s="4" t="s">
        <v>100</v>
      </c>
    </row>
    <row r="28" spans="1:15" x14ac:dyDescent="0.2">
      <c r="A28" s="4" t="s">
        <v>454</v>
      </c>
      <c r="B28" s="4" t="s">
        <v>102</v>
      </c>
      <c r="C28" s="4" t="s">
        <v>42</v>
      </c>
      <c r="D28" s="4" t="s">
        <v>99</v>
      </c>
      <c r="E28" s="4" t="s">
        <v>61</v>
      </c>
      <c r="F28" s="4" t="s">
        <v>99</v>
      </c>
      <c r="G28" s="4" t="s">
        <v>99</v>
      </c>
      <c r="H28" s="4" t="s">
        <v>33</v>
      </c>
      <c r="I28" s="4" t="s">
        <v>103</v>
      </c>
      <c r="J28" s="4"/>
      <c r="K28" s="4" t="s">
        <v>484</v>
      </c>
      <c r="L28" s="5" t="str">
        <f>IF(AND($K28&lt;&gt;"",Config!$B$2&lt;&gt;""), Config!$B$2 &amp; "?id=" &amp; $K28, "")</f>
        <v/>
      </c>
      <c r="M28" s="4"/>
      <c r="N28" s="4" t="str">
        <f t="shared" ca="1" si="0"/>
        <v/>
      </c>
      <c r="O28" s="4" t="s">
        <v>100</v>
      </c>
    </row>
    <row r="29" spans="1:15" x14ac:dyDescent="0.2">
      <c r="A29" s="4" t="s">
        <v>454</v>
      </c>
      <c r="B29" s="4" t="s">
        <v>104</v>
      </c>
      <c r="C29" s="4" t="s">
        <v>46</v>
      </c>
      <c r="D29" s="4" t="s">
        <v>99</v>
      </c>
      <c r="E29" s="4" t="s">
        <v>37</v>
      </c>
      <c r="F29" s="4" t="s">
        <v>37</v>
      </c>
      <c r="G29" s="4" t="s">
        <v>37</v>
      </c>
      <c r="H29" s="4" t="s">
        <v>37</v>
      </c>
      <c r="I29" s="4" t="s">
        <v>37</v>
      </c>
      <c r="J29" s="4"/>
      <c r="K29" s="4" t="s">
        <v>485</v>
      </c>
      <c r="L29" s="5" t="str">
        <f>IF(AND($K29&lt;&gt;"",Config!$B$2&lt;&gt;""), Config!$B$2 &amp; "?id=" &amp; $K29, "")</f>
        <v/>
      </c>
      <c r="M29" s="4"/>
      <c r="N29" s="4" t="str">
        <f t="shared" ca="1" si="0"/>
        <v/>
      </c>
      <c r="O29" s="4" t="s">
        <v>100</v>
      </c>
    </row>
    <row r="30" spans="1:15" x14ac:dyDescent="0.2">
      <c r="A30" s="4" t="s">
        <v>454</v>
      </c>
      <c r="B30" s="4" t="s">
        <v>105</v>
      </c>
      <c r="C30" s="4" t="s">
        <v>106</v>
      </c>
      <c r="D30" s="4" t="s">
        <v>107</v>
      </c>
      <c r="E30" s="4" t="s">
        <v>37</v>
      </c>
      <c r="F30" s="4" t="s">
        <v>37</v>
      </c>
      <c r="G30" s="4" t="s">
        <v>37</v>
      </c>
      <c r="H30" s="4" t="s">
        <v>37</v>
      </c>
      <c r="I30" s="4" t="s">
        <v>37</v>
      </c>
      <c r="J30" s="4"/>
      <c r="K30" s="4" t="s">
        <v>480</v>
      </c>
      <c r="L30" s="5" t="str">
        <f>IF(AND($K30&lt;&gt;"",Config!$B$2&lt;&gt;""), Config!$B$2 &amp; "?id=" &amp; $K30, "")</f>
        <v/>
      </c>
      <c r="M30" s="4"/>
      <c r="N30" s="4" t="str">
        <f t="shared" ca="1" si="0"/>
        <v/>
      </c>
      <c r="O30" s="4" t="s">
        <v>108</v>
      </c>
    </row>
    <row r="31" spans="1:15" x14ac:dyDescent="0.2">
      <c r="A31" s="4" t="s">
        <v>454</v>
      </c>
      <c r="B31" s="4" t="s">
        <v>109</v>
      </c>
      <c r="C31" s="4" t="s">
        <v>71</v>
      </c>
      <c r="D31" s="4" t="s">
        <v>107</v>
      </c>
      <c r="E31" s="4" t="s">
        <v>37</v>
      </c>
      <c r="F31" s="4" t="s">
        <v>37</v>
      </c>
      <c r="G31" s="4" t="s">
        <v>37</v>
      </c>
      <c r="H31" s="4" t="s">
        <v>37</v>
      </c>
      <c r="I31" s="4" t="s">
        <v>37</v>
      </c>
      <c r="J31" s="4"/>
      <c r="K31" s="4" t="s">
        <v>480</v>
      </c>
      <c r="L31" s="5" t="str">
        <f>IF(AND($K31&lt;&gt;"",Config!$B$2&lt;&gt;""), Config!$B$2 &amp; "?id=" &amp; $K31, "")</f>
        <v/>
      </c>
      <c r="M31" s="4"/>
      <c r="N31" s="4" t="str">
        <f t="shared" ca="1" si="0"/>
        <v/>
      </c>
      <c r="O31" s="4" t="s">
        <v>108</v>
      </c>
    </row>
    <row r="32" spans="1:15" x14ac:dyDescent="0.2">
      <c r="A32" s="4" t="s">
        <v>454</v>
      </c>
      <c r="B32" s="4" t="s">
        <v>110</v>
      </c>
      <c r="C32" s="4" t="s">
        <v>29</v>
      </c>
      <c r="D32" s="4" t="s">
        <v>107</v>
      </c>
      <c r="E32" s="4" t="s">
        <v>37</v>
      </c>
      <c r="F32" s="4" t="s">
        <v>37</v>
      </c>
      <c r="G32" s="4" t="s">
        <v>37</v>
      </c>
      <c r="H32" s="4" t="s">
        <v>37</v>
      </c>
      <c r="I32" s="4" t="s">
        <v>37</v>
      </c>
      <c r="J32" s="4"/>
      <c r="K32" s="4" t="s">
        <v>480</v>
      </c>
      <c r="L32" s="5" t="str">
        <f>IF(AND($K32&lt;&gt;"",Config!$B$2&lt;&gt;""), Config!$B$2 &amp; "?id=" &amp; $K32, "")</f>
        <v/>
      </c>
      <c r="M32" s="4"/>
      <c r="N32" s="4" t="str">
        <f t="shared" ca="1" si="0"/>
        <v/>
      </c>
      <c r="O32" s="4" t="s">
        <v>108</v>
      </c>
    </row>
    <row r="33" spans="1:15" x14ac:dyDescent="0.2">
      <c r="A33" s="4" t="s">
        <v>454</v>
      </c>
      <c r="B33" s="4" t="s">
        <v>111</v>
      </c>
      <c r="C33" s="4" t="s">
        <v>71</v>
      </c>
      <c r="D33" s="4" t="s">
        <v>107</v>
      </c>
      <c r="E33" s="4" t="s">
        <v>37</v>
      </c>
      <c r="F33" s="4" t="s">
        <v>37</v>
      </c>
      <c r="G33" s="4" t="s">
        <v>37</v>
      </c>
      <c r="H33" s="4" t="s">
        <v>37</v>
      </c>
      <c r="I33" s="4" t="s">
        <v>37</v>
      </c>
      <c r="J33" s="4"/>
      <c r="K33" s="4" t="s">
        <v>480</v>
      </c>
      <c r="L33" s="5" t="str">
        <f>IF(AND($K33&lt;&gt;"",Config!$B$2&lt;&gt;""), Config!$B$2 &amp; "?id=" &amp; $K33, "")</f>
        <v/>
      </c>
      <c r="M33" s="4"/>
      <c r="N33" s="4" t="str">
        <f t="shared" ca="1" si="0"/>
        <v/>
      </c>
      <c r="O33" s="4" t="s">
        <v>108</v>
      </c>
    </row>
    <row r="34" spans="1:15" x14ac:dyDescent="0.2">
      <c r="A34" s="4" t="s">
        <v>454</v>
      </c>
      <c r="B34" s="4" t="s">
        <v>112</v>
      </c>
      <c r="C34" s="4" t="s">
        <v>29</v>
      </c>
      <c r="D34" s="4" t="s">
        <v>107</v>
      </c>
      <c r="E34" s="4" t="s">
        <v>37</v>
      </c>
      <c r="F34" s="4" t="s">
        <v>37</v>
      </c>
      <c r="G34" s="4" t="s">
        <v>37</v>
      </c>
      <c r="H34" s="4" t="s">
        <v>37</v>
      </c>
      <c r="I34" s="4" t="s">
        <v>37</v>
      </c>
      <c r="J34" s="4"/>
      <c r="K34" s="4" t="s">
        <v>480</v>
      </c>
      <c r="L34" s="5" t="str">
        <f>IF(AND($K34&lt;&gt;"",Config!$B$2&lt;&gt;""), Config!$B$2 &amp; "?id=" &amp; $K34, "")</f>
        <v/>
      </c>
      <c r="M34" s="4"/>
      <c r="N34" s="4" t="str">
        <f t="shared" ca="1" si="0"/>
        <v/>
      </c>
      <c r="O34" s="4" t="s">
        <v>108</v>
      </c>
    </row>
    <row r="35" spans="1:15" x14ac:dyDescent="0.2">
      <c r="A35" s="4" t="s">
        <v>454</v>
      </c>
      <c r="B35" s="4" t="s">
        <v>113</v>
      </c>
      <c r="C35" s="4" t="s">
        <v>29</v>
      </c>
      <c r="D35" s="4" t="s">
        <v>114</v>
      </c>
      <c r="E35" s="4" t="s">
        <v>115</v>
      </c>
      <c r="F35" s="4" t="s">
        <v>115</v>
      </c>
      <c r="G35" s="4" t="s">
        <v>115</v>
      </c>
      <c r="H35" s="4" t="s">
        <v>33</v>
      </c>
      <c r="I35" s="4" t="s">
        <v>116</v>
      </c>
      <c r="J35" s="4"/>
      <c r="K35" s="4" t="s">
        <v>479</v>
      </c>
      <c r="L35" s="5" t="str">
        <f>IF(AND($K35&lt;&gt;"",Config!$B$2&lt;&gt;""), Config!$B$2 &amp; "?id=" &amp; $K35, "")</f>
        <v/>
      </c>
      <c r="M35" s="4"/>
      <c r="N35" s="4" t="str">
        <f t="shared" ca="1" si="0"/>
        <v/>
      </c>
      <c r="O35" s="4" t="s">
        <v>117</v>
      </c>
    </row>
    <row r="36" spans="1:15" x14ac:dyDescent="0.2">
      <c r="A36" s="4" t="s">
        <v>454</v>
      </c>
      <c r="B36" s="4" t="s">
        <v>118</v>
      </c>
      <c r="C36" s="4" t="s">
        <v>46</v>
      </c>
      <c r="D36" s="4" t="s">
        <v>114</v>
      </c>
      <c r="E36" s="4" t="s">
        <v>115</v>
      </c>
      <c r="F36" s="4" t="s">
        <v>115</v>
      </c>
      <c r="G36" s="4" t="s">
        <v>115</v>
      </c>
      <c r="H36" s="4" t="s">
        <v>33</v>
      </c>
      <c r="I36" s="4" t="s">
        <v>116</v>
      </c>
      <c r="J36" s="4"/>
      <c r="K36" s="4" t="s">
        <v>479</v>
      </c>
      <c r="L36" s="5" t="str">
        <f>IF(AND($K36&lt;&gt;"",Config!$B$2&lt;&gt;""), Config!$B$2 &amp; "?id=" &amp; $K36, "")</f>
        <v/>
      </c>
      <c r="M36" s="4"/>
      <c r="N36" s="4" t="str">
        <f t="shared" ca="1" si="0"/>
        <v/>
      </c>
      <c r="O36" s="4" t="s">
        <v>117</v>
      </c>
    </row>
    <row r="37" spans="1:15" x14ac:dyDescent="0.2">
      <c r="A37" s="4" t="s">
        <v>454</v>
      </c>
      <c r="B37" s="4" t="s">
        <v>119</v>
      </c>
      <c r="C37" s="4" t="s">
        <v>86</v>
      </c>
      <c r="D37" s="4" t="s">
        <v>114</v>
      </c>
      <c r="E37" s="4" t="s">
        <v>115</v>
      </c>
      <c r="F37" s="4" t="s">
        <v>115</v>
      </c>
      <c r="G37" s="4" t="s">
        <v>115</v>
      </c>
      <c r="H37" s="4" t="s">
        <v>33</v>
      </c>
      <c r="I37" s="4" t="s">
        <v>116</v>
      </c>
      <c r="J37" s="4"/>
      <c r="K37" s="4" t="s">
        <v>479</v>
      </c>
      <c r="L37" s="5" t="str">
        <f>IF(AND($K37&lt;&gt;"",Config!$B$2&lt;&gt;""), Config!$B$2 &amp; "?id=" &amp; $K37, "")</f>
        <v/>
      </c>
      <c r="M37" s="4"/>
      <c r="N37" s="4" t="str">
        <f t="shared" ca="1" si="0"/>
        <v/>
      </c>
      <c r="O37" s="4" t="s">
        <v>117</v>
      </c>
    </row>
    <row r="38" spans="1:15" x14ac:dyDescent="0.2">
      <c r="A38" s="4" t="s">
        <v>454</v>
      </c>
      <c r="B38" s="4" t="s">
        <v>120</v>
      </c>
      <c r="C38" s="4" t="s">
        <v>121</v>
      </c>
      <c r="D38" s="4" t="s">
        <v>114</v>
      </c>
      <c r="E38" s="4" t="s">
        <v>115</v>
      </c>
      <c r="F38" s="4" t="s">
        <v>115</v>
      </c>
      <c r="G38" s="4" t="s">
        <v>115</v>
      </c>
      <c r="H38" s="4" t="s">
        <v>76</v>
      </c>
      <c r="I38" s="4" t="s">
        <v>122</v>
      </c>
      <c r="J38" s="4"/>
      <c r="K38" s="4" t="s">
        <v>479</v>
      </c>
      <c r="L38" s="5" t="str">
        <f>IF(AND($K38&lt;&gt;"",Config!$B$2&lt;&gt;""), Config!$B$2 &amp; "?id=" &amp; $K38, "")</f>
        <v/>
      </c>
      <c r="M38" s="4"/>
      <c r="N38" s="4" t="str">
        <f t="shared" ca="1" si="0"/>
        <v/>
      </c>
      <c r="O38" s="4" t="s">
        <v>117</v>
      </c>
    </row>
    <row r="39" spans="1:15" x14ac:dyDescent="0.2">
      <c r="A39" s="4" t="s">
        <v>454</v>
      </c>
      <c r="B39" s="4" t="s">
        <v>46</v>
      </c>
      <c r="C39" s="4" t="s">
        <v>46</v>
      </c>
      <c r="D39" s="4" t="s">
        <v>114</v>
      </c>
      <c r="E39" s="4" t="s">
        <v>115</v>
      </c>
      <c r="F39" s="4" t="s">
        <v>115</v>
      </c>
      <c r="G39" s="4" t="s">
        <v>115</v>
      </c>
      <c r="H39" s="4" t="s">
        <v>33</v>
      </c>
      <c r="I39" s="4" t="s">
        <v>122</v>
      </c>
      <c r="J39" s="4"/>
      <c r="K39" s="4" t="s">
        <v>479</v>
      </c>
      <c r="L39" s="5" t="str">
        <f>IF(AND($K39&lt;&gt;"",Config!$B$2&lt;&gt;""), Config!$B$2 &amp; "?id=" &amp; $K39, "")</f>
        <v/>
      </c>
      <c r="M39" s="4"/>
      <c r="N39" s="4" t="str">
        <f t="shared" ca="1" si="0"/>
        <v/>
      </c>
      <c r="O39" s="4" t="s">
        <v>117</v>
      </c>
    </row>
    <row r="40" spans="1:15" x14ac:dyDescent="0.2">
      <c r="A40" s="4" t="s">
        <v>454</v>
      </c>
      <c r="B40" s="4" t="s">
        <v>123</v>
      </c>
      <c r="C40" s="4" t="s">
        <v>46</v>
      </c>
      <c r="D40" s="4" t="s">
        <v>114</v>
      </c>
      <c r="E40" s="4" t="s">
        <v>115</v>
      </c>
      <c r="F40" s="4" t="s">
        <v>115</v>
      </c>
      <c r="G40" s="4" t="s">
        <v>115</v>
      </c>
      <c r="H40" s="4" t="s">
        <v>33</v>
      </c>
      <c r="I40" s="4" t="s">
        <v>122</v>
      </c>
      <c r="J40" s="4"/>
      <c r="K40" s="4" t="s">
        <v>479</v>
      </c>
      <c r="L40" s="5" t="str">
        <f>IF(AND($K40&lt;&gt;"",Config!$B$2&lt;&gt;""), Config!$B$2 &amp; "?id=" &amp; $K40, "")</f>
        <v/>
      </c>
      <c r="M40" s="4"/>
      <c r="N40" s="4" t="str">
        <f t="shared" ca="1" si="0"/>
        <v/>
      </c>
      <c r="O40" s="4" t="s">
        <v>117</v>
      </c>
    </row>
    <row r="41" spans="1:15" x14ac:dyDescent="0.2">
      <c r="A41" s="4" t="s">
        <v>454</v>
      </c>
      <c r="B41" s="4" t="s">
        <v>124</v>
      </c>
      <c r="C41" s="4" t="s">
        <v>86</v>
      </c>
      <c r="D41" s="4" t="s">
        <v>114</v>
      </c>
      <c r="E41" s="4" t="s">
        <v>115</v>
      </c>
      <c r="F41" s="4" t="s">
        <v>115</v>
      </c>
      <c r="G41" s="4" t="s">
        <v>115</v>
      </c>
      <c r="H41" s="4" t="s">
        <v>76</v>
      </c>
      <c r="I41" s="4" t="s">
        <v>122</v>
      </c>
      <c r="J41" s="4"/>
      <c r="K41" s="4" t="s">
        <v>479</v>
      </c>
      <c r="L41" s="5" t="str">
        <f>IF(AND($K41&lt;&gt;"",Config!$B$2&lt;&gt;""), Config!$B$2 &amp; "?id=" &amp; $K41, "")</f>
        <v/>
      </c>
      <c r="M41" s="4"/>
      <c r="N41" s="4" t="str">
        <f t="shared" ca="1" si="0"/>
        <v/>
      </c>
      <c r="O41" s="4" t="s">
        <v>117</v>
      </c>
    </row>
    <row r="42" spans="1:15" x14ac:dyDescent="0.2">
      <c r="A42" s="4" t="s">
        <v>454</v>
      </c>
      <c r="B42" s="4" t="s">
        <v>125</v>
      </c>
      <c r="C42" s="4" t="s">
        <v>126</v>
      </c>
      <c r="D42" s="4" t="s">
        <v>114</v>
      </c>
      <c r="E42" s="4" t="s">
        <v>115</v>
      </c>
      <c r="F42" s="4" t="s">
        <v>115</v>
      </c>
      <c r="G42" s="4" t="s">
        <v>115</v>
      </c>
      <c r="H42" s="4" t="s">
        <v>76</v>
      </c>
      <c r="I42" s="4" t="s">
        <v>122</v>
      </c>
      <c r="J42" s="4"/>
      <c r="K42" s="4" t="s">
        <v>479</v>
      </c>
      <c r="L42" s="5" t="str">
        <f>IF(AND($K42&lt;&gt;"",Config!$B$2&lt;&gt;""), Config!$B$2 &amp; "?id=" &amp; $K42, "")</f>
        <v/>
      </c>
      <c r="M42" s="4"/>
      <c r="N42" s="4" t="str">
        <f t="shared" ca="1" si="0"/>
        <v/>
      </c>
      <c r="O42" s="4" t="s">
        <v>117</v>
      </c>
    </row>
    <row r="43" spans="1:15" x14ac:dyDescent="0.2">
      <c r="A43" s="4" t="s">
        <v>454</v>
      </c>
      <c r="B43" s="4" t="s">
        <v>127</v>
      </c>
      <c r="C43" s="4" t="s">
        <v>128</v>
      </c>
      <c r="D43" s="4" t="s">
        <v>114</v>
      </c>
      <c r="E43" s="4" t="s">
        <v>115</v>
      </c>
      <c r="F43" s="4" t="s">
        <v>115</v>
      </c>
      <c r="G43" s="4" t="s">
        <v>115</v>
      </c>
      <c r="H43" s="4" t="s">
        <v>76</v>
      </c>
      <c r="I43" s="4" t="s">
        <v>122</v>
      </c>
      <c r="J43" s="4"/>
      <c r="K43" s="4" t="s">
        <v>479</v>
      </c>
      <c r="L43" s="5" t="str">
        <f>IF(AND($K43&lt;&gt;"",Config!$B$2&lt;&gt;""), Config!$B$2 &amp; "?id=" &amp; $K43, "")</f>
        <v/>
      </c>
      <c r="M43" s="4"/>
      <c r="N43" s="4" t="str">
        <f t="shared" ca="1" si="0"/>
        <v/>
      </c>
      <c r="O43" s="4" t="s">
        <v>117</v>
      </c>
    </row>
    <row r="44" spans="1:15" x14ac:dyDescent="0.2">
      <c r="A44" s="4" t="s">
        <v>454</v>
      </c>
      <c r="B44" s="4" t="s">
        <v>129</v>
      </c>
      <c r="C44" s="4" t="s">
        <v>92</v>
      </c>
      <c r="D44" s="4" t="s">
        <v>114</v>
      </c>
      <c r="E44" s="4" t="s">
        <v>115</v>
      </c>
      <c r="F44" s="4" t="s">
        <v>115</v>
      </c>
      <c r="G44" s="4" t="s">
        <v>115</v>
      </c>
      <c r="H44" s="4" t="s">
        <v>76</v>
      </c>
      <c r="I44" s="4" t="s">
        <v>122</v>
      </c>
      <c r="J44" s="4"/>
      <c r="K44" s="4" t="s">
        <v>479</v>
      </c>
      <c r="L44" s="5" t="str">
        <f>IF(AND($K44&lt;&gt;"",Config!$B$2&lt;&gt;""), Config!$B$2 &amp; "?id=" &amp; $K44, "")</f>
        <v/>
      </c>
      <c r="M44" s="4"/>
      <c r="N44" s="4" t="str">
        <f t="shared" ca="1" si="0"/>
        <v/>
      </c>
      <c r="O44" s="4" t="s">
        <v>117</v>
      </c>
    </row>
    <row r="45" spans="1:15" x14ac:dyDescent="0.2">
      <c r="A45" s="4" t="s">
        <v>454</v>
      </c>
      <c r="B45" s="4" t="s">
        <v>130</v>
      </c>
      <c r="C45" s="4" t="s">
        <v>131</v>
      </c>
      <c r="D45" s="4" t="s">
        <v>30</v>
      </c>
      <c r="E45" s="4" t="s">
        <v>132</v>
      </c>
      <c r="F45" s="4" t="s">
        <v>30</v>
      </c>
      <c r="G45" s="4" t="s">
        <v>30</v>
      </c>
      <c r="H45" s="4" t="s">
        <v>76</v>
      </c>
      <c r="I45" s="4" t="s">
        <v>133</v>
      </c>
      <c r="J45" s="4"/>
      <c r="K45" s="4" t="s">
        <v>478</v>
      </c>
      <c r="L45" s="5" t="str">
        <f>IF(AND($K45&lt;&gt;"",Config!$B$2&lt;&gt;""), Config!$B$2 &amp; "?id=" &amp; $K45, "")</f>
        <v/>
      </c>
      <c r="M45" s="4"/>
      <c r="N45" s="4" t="str">
        <f t="shared" ca="1" si="0"/>
        <v/>
      </c>
      <c r="O45" s="4" t="s">
        <v>134</v>
      </c>
    </row>
    <row r="46" spans="1:15" x14ac:dyDescent="0.2">
      <c r="A46" s="4" t="s">
        <v>454</v>
      </c>
      <c r="B46" s="4" t="s">
        <v>135</v>
      </c>
      <c r="C46" s="4" t="s">
        <v>136</v>
      </c>
      <c r="D46" s="4" t="s">
        <v>30</v>
      </c>
      <c r="E46" s="4" t="s">
        <v>137</v>
      </c>
      <c r="F46" s="4" t="s">
        <v>30</v>
      </c>
      <c r="G46" s="4" t="s">
        <v>30</v>
      </c>
      <c r="H46" s="4" t="s">
        <v>76</v>
      </c>
      <c r="I46" s="4" t="s">
        <v>138</v>
      </c>
      <c r="J46" s="4"/>
      <c r="K46" s="4" t="s">
        <v>478</v>
      </c>
      <c r="L46" s="5" t="str">
        <f>IF(AND($K46&lt;&gt;"",Config!$B$2&lt;&gt;""), Config!$B$2 &amp; "?id=" &amp; $K46, "")</f>
        <v/>
      </c>
      <c r="M46" s="4"/>
      <c r="N46" s="4" t="str">
        <f t="shared" ca="1" si="0"/>
        <v/>
      </c>
      <c r="O46" s="4" t="s">
        <v>134</v>
      </c>
    </row>
    <row r="47" spans="1:15" x14ac:dyDescent="0.2">
      <c r="A47" s="4" t="s">
        <v>454</v>
      </c>
      <c r="B47" s="4" t="s">
        <v>139</v>
      </c>
      <c r="C47" s="4" t="s">
        <v>140</v>
      </c>
      <c r="D47" s="4" t="s">
        <v>30</v>
      </c>
      <c r="E47" s="4" t="s">
        <v>137</v>
      </c>
      <c r="F47" s="4" t="s">
        <v>30</v>
      </c>
      <c r="G47" s="4" t="s">
        <v>30</v>
      </c>
      <c r="H47" s="4" t="s">
        <v>76</v>
      </c>
      <c r="I47" s="4" t="s">
        <v>138</v>
      </c>
      <c r="J47" s="4"/>
      <c r="K47" s="4" t="s">
        <v>478</v>
      </c>
      <c r="L47" s="5" t="str">
        <f>IF(AND($K47&lt;&gt;"",Config!$B$2&lt;&gt;""), Config!$B$2 &amp; "?id=" &amp; $K47, "")</f>
        <v/>
      </c>
      <c r="M47" s="4"/>
      <c r="N47" s="4" t="str">
        <f t="shared" ca="1" si="0"/>
        <v/>
      </c>
      <c r="O47" s="4" t="s">
        <v>134</v>
      </c>
    </row>
    <row r="48" spans="1:15" x14ac:dyDescent="0.2">
      <c r="A48" s="4" t="s">
        <v>454</v>
      </c>
      <c r="B48" s="4" t="s">
        <v>141</v>
      </c>
      <c r="C48" s="4" t="s">
        <v>46</v>
      </c>
      <c r="D48" s="4" t="s">
        <v>30</v>
      </c>
      <c r="E48" s="4" t="s">
        <v>137</v>
      </c>
      <c r="F48" s="4" t="s">
        <v>30</v>
      </c>
      <c r="G48" s="4" t="s">
        <v>30</v>
      </c>
      <c r="H48" s="4" t="s">
        <v>76</v>
      </c>
      <c r="I48" s="4" t="s">
        <v>138</v>
      </c>
      <c r="J48" s="4"/>
      <c r="K48" s="4" t="s">
        <v>478</v>
      </c>
      <c r="L48" s="5" t="str">
        <f>IF(AND($K48&lt;&gt;"",Config!$B$2&lt;&gt;""), Config!$B$2 &amp; "?id=" &amp; $K48, "")</f>
        <v/>
      </c>
      <c r="M48" s="4"/>
      <c r="N48" s="4" t="str">
        <f t="shared" ca="1" si="0"/>
        <v/>
      </c>
      <c r="O48" s="4" t="s">
        <v>134</v>
      </c>
    </row>
    <row r="49" spans="1:15" x14ac:dyDescent="0.2">
      <c r="A49" s="4" t="s">
        <v>454</v>
      </c>
      <c r="B49" s="4" t="s">
        <v>142</v>
      </c>
      <c r="C49" s="4" t="s">
        <v>29</v>
      </c>
      <c r="D49" s="4" t="s">
        <v>143</v>
      </c>
      <c r="E49" s="4" t="s">
        <v>31</v>
      </c>
      <c r="F49" s="4" t="s">
        <v>30</v>
      </c>
      <c r="G49" s="4" t="s">
        <v>30</v>
      </c>
      <c r="H49" s="4" t="s">
        <v>33</v>
      </c>
      <c r="I49" s="4" t="s">
        <v>144</v>
      </c>
      <c r="J49" s="4"/>
      <c r="K49" s="4" t="s">
        <v>477</v>
      </c>
      <c r="L49" s="5" t="str">
        <f>IF(AND($K49&lt;&gt;"",Config!$B$2&lt;&gt;""), Config!$B$2 &amp; "?id=" &amp; $K49, "")</f>
        <v/>
      </c>
      <c r="M49" s="4"/>
      <c r="N49" s="4" t="str">
        <f t="shared" ca="1" si="0"/>
        <v/>
      </c>
      <c r="O49" s="4" t="s">
        <v>145</v>
      </c>
    </row>
    <row r="50" spans="1:15" x14ac:dyDescent="0.2">
      <c r="A50" s="4" t="s">
        <v>454</v>
      </c>
      <c r="B50" s="4" t="s">
        <v>146</v>
      </c>
      <c r="C50" s="4" t="s">
        <v>92</v>
      </c>
      <c r="D50" s="4" t="s">
        <v>143</v>
      </c>
      <c r="E50" s="4" t="s">
        <v>147</v>
      </c>
      <c r="F50" s="4" t="s">
        <v>148</v>
      </c>
      <c r="G50" s="4" t="s">
        <v>30</v>
      </c>
      <c r="H50" s="4" t="s">
        <v>33</v>
      </c>
      <c r="I50" s="4" t="s">
        <v>149</v>
      </c>
      <c r="J50" s="4"/>
      <c r="K50" s="4" t="s">
        <v>477</v>
      </c>
      <c r="L50" s="5" t="str">
        <f>IF(AND($K50&lt;&gt;"",Config!$B$2&lt;&gt;""), Config!$B$2 &amp; "?id=" &amp; $K50, "")</f>
        <v/>
      </c>
      <c r="M50" s="4"/>
      <c r="N50" s="4" t="str">
        <f t="shared" ca="1" si="0"/>
        <v/>
      </c>
      <c r="O50" s="4" t="s">
        <v>145</v>
      </c>
    </row>
    <row r="51" spans="1:15" x14ac:dyDescent="0.2">
      <c r="A51" s="4" t="s">
        <v>454</v>
      </c>
      <c r="B51" s="4" t="s">
        <v>150</v>
      </c>
      <c r="C51" s="4" t="s">
        <v>29</v>
      </c>
      <c r="D51" s="4" t="s">
        <v>143</v>
      </c>
      <c r="E51" s="4" t="s">
        <v>147</v>
      </c>
      <c r="F51" s="4" t="s">
        <v>148</v>
      </c>
      <c r="G51" s="4" t="s">
        <v>30</v>
      </c>
      <c r="H51" s="4" t="s">
        <v>33</v>
      </c>
      <c r="I51" s="4" t="s">
        <v>149</v>
      </c>
      <c r="J51" s="4"/>
      <c r="K51" s="4" t="s">
        <v>477</v>
      </c>
      <c r="L51" s="5" t="str">
        <f>IF(AND($K51&lt;&gt;"",Config!$B$2&lt;&gt;""), Config!$B$2 &amp; "?id=" &amp; $K51, "")</f>
        <v/>
      </c>
      <c r="M51" s="4"/>
      <c r="N51" s="4" t="str">
        <f t="shared" ca="1" si="0"/>
        <v/>
      </c>
      <c r="O51" s="4" t="s">
        <v>145</v>
      </c>
    </row>
    <row r="52" spans="1:15" x14ac:dyDescent="0.2">
      <c r="A52" s="4" t="s">
        <v>454</v>
      </c>
      <c r="B52" s="4" t="s">
        <v>151</v>
      </c>
      <c r="C52" s="4" t="s">
        <v>29</v>
      </c>
      <c r="D52" s="4" t="s">
        <v>143</v>
      </c>
      <c r="E52" s="4" t="s">
        <v>152</v>
      </c>
      <c r="F52" s="4" t="s">
        <v>152</v>
      </c>
      <c r="G52" s="4" t="s">
        <v>152</v>
      </c>
      <c r="H52" s="4" t="s">
        <v>33</v>
      </c>
      <c r="I52" s="4" t="s">
        <v>153</v>
      </c>
      <c r="J52" s="4"/>
      <c r="K52" s="4" t="s">
        <v>477</v>
      </c>
      <c r="L52" s="5" t="str">
        <f>IF(AND($K52&lt;&gt;"",Config!$B$2&lt;&gt;""), Config!$B$2 &amp; "?id=" &amp; $K52, "")</f>
        <v/>
      </c>
      <c r="M52" s="4"/>
      <c r="N52" s="4" t="str">
        <f t="shared" ca="1" si="0"/>
        <v/>
      </c>
      <c r="O52" s="4" t="s">
        <v>145</v>
      </c>
    </row>
    <row r="53" spans="1:15" x14ac:dyDescent="0.2">
      <c r="A53" s="4" t="s">
        <v>454</v>
      </c>
      <c r="B53" s="4" t="s">
        <v>154</v>
      </c>
      <c r="C53" s="4" t="s">
        <v>46</v>
      </c>
      <c r="D53" s="4" t="s">
        <v>143</v>
      </c>
      <c r="E53" s="4" t="s">
        <v>152</v>
      </c>
      <c r="F53" s="4" t="s">
        <v>152</v>
      </c>
      <c r="G53" s="4" t="s">
        <v>152</v>
      </c>
      <c r="H53" s="4" t="s">
        <v>33</v>
      </c>
      <c r="I53" s="4" t="s">
        <v>155</v>
      </c>
      <c r="J53" s="4"/>
      <c r="K53" s="4" t="s">
        <v>477</v>
      </c>
      <c r="L53" s="5" t="str">
        <f>IF(AND($K53&lt;&gt;"",Config!$B$2&lt;&gt;""), Config!$B$2 &amp; "?id=" &amp; $K53, "")</f>
        <v/>
      </c>
      <c r="M53" s="4"/>
      <c r="N53" s="4" t="str">
        <f t="shared" ca="1" si="0"/>
        <v/>
      </c>
      <c r="O53" s="4" t="s">
        <v>145</v>
      </c>
    </row>
    <row r="54" spans="1:15" x14ac:dyDescent="0.2">
      <c r="A54" s="4" t="s">
        <v>454</v>
      </c>
      <c r="B54" s="4" t="s">
        <v>156</v>
      </c>
      <c r="C54" s="4" t="s">
        <v>46</v>
      </c>
      <c r="D54" s="4" t="s">
        <v>143</v>
      </c>
      <c r="E54" s="4" t="s">
        <v>152</v>
      </c>
      <c r="F54" s="4" t="s">
        <v>152</v>
      </c>
      <c r="G54" s="4" t="s">
        <v>152</v>
      </c>
      <c r="H54" s="4" t="s">
        <v>33</v>
      </c>
      <c r="I54" s="4" t="s">
        <v>155</v>
      </c>
      <c r="J54" s="4"/>
      <c r="K54" s="4" t="s">
        <v>477</v>
      </c>
      <c r="L54" s="5" t="str">
        <f>IF(AND($K54&lt;&gt;"",Config!$B$2&lt;&gt;""), Config!$B$2 &amp; "?id=" &amp; $K54, "")</f>
        <v/>
      </c>
      <c r="M54" s="4"/>
      <c r="N54" s="4" t="str">
        <f t="shared" ca="1" si="0"/>
        <v/>
      </c>
      <c r="O54" s="4" t="s">
        <v>145</v>
      </c>
    </row>
    <row r="55" spans="1:15" x14ac:dyDescent="0.2">
      <c r="A55" s="4" t="s">
        <v>454</v>
      </c>
      <c r="B55" s="4" t="s">
        <v>157</v>
      </c>
      <c r="C55" s="4" t="s">
        <v>46</v>
      </c>
      <c r="D55" s="4" t="s">
        <v>143</v>
      </c>
      <c r="E55" s="4" t="s">
        <v>37</v>
      </c>
      <c r="F55" s="4" t="s">
        <v>37</v>
      </c>
      <c r="G55" s="4" t="s">
        <v>37</v>
      </c>
      <c r="H55" s="4" t="s">
        <v>37</v>
      </c>
      <c r="I55" s="4" t="s">
        <v>37</v>
      </c>
      <c r="J55" s="4"/>
      <c r="K55" s="4" t="s">
        <v>477</v>
      </c>
      <c r="L55" s="5" t="str">
        <f>IF(AND($K55&lt;&gt;"",Config!$B$2&lt;&gt;""), Config!$B$2 &amp; "?id=" &amp; $K55, "")</f>
        <v/>
      </c>
      <c r="M55" s="4"/>
      <c r="N55" s="4" t="str">
        <f t="shared" ca="1" si="0"/>
        <v/>
      </c>
      <c r="O55" s="4" t="s">
        <v>145</v>
      </c>
    </row>
    <row r="56" spans="1:15" x14ac:dyDescent="0.2">
      <c r="A56" s="4" t="s">
        <v>454</v>
      </c>
      <c r="B56" s="4" t="s">
        <v>158</v>
      </c>
      <c r="C56" s="4" t="s">
        <v>46</v>
      </c>
      <c r="D56" s="4" t="s">
        <v>143</v>
      </c>
      <c r="E56" s="4" t="s">
        <v>159</v>
      </c>
      <c r="F56" s="4" t="s">
        <v>30</v>
      </c>
      <c r="G56" s="4" t="s">
        <v>160</v>
      </c>
      <c r="H56" s="4" t="s">
        <v>33</v>
      </c>
      <c r="I56" s="4" t="s">
        <v>161</v>
      </c>
      <c r="J56" s="4"/>
      <c r="K56" s="4" t="s">
        <v>477</v>
      </c>
      <c r="L56" s="5" t="str">
        <f>IF(AND($K56&lt;&gt;"",Config!$B$2&lt;&gt;""), Config!$B$2 &amp; "?id=" &amp; $K56, "")</f>
        <v/>
      </c>
      <c r="M56" s="4"/>
      <c r="N56" s="4" t="str">
        <f t="shared" ca="1" si="0"/>
        <v/>
      </c>
      <c r="O56" s="4" t="s">
        <v>145</v>
      </c>
    </row>
    <row r="57" spans="1:15" x14ac:dyDescent="0.2">
      <c r="A57" s="4" t="s">
        <v>454</v>
      </c>
      <c r="B57" s="4" t="s">
        <v>162</v>
      </c>
      <c r="C57" s="4" t="s">
        <v>29</v>
      </c>
      <c r="D57" s="4" t="s">
        <v>143</v>
      </c>
      <c r="E57" s="4" t="s">
        <v>159</v>
      </c>
      <c r="F57" s="4" t="s">
        <v>30</v>
      </c>
      <c r="G57" s="4" t="s">
        <v>160</v>
      </c>
      <c r="H57" s="4" t="s">
        <v>33</v>
      </c>
      <c r="I57" s="4" t="s">
        <v>161</v>
      </c>
      <c r="J57" s="4"/>
      <c r="K57" s="4" t="s">
        <v>477</v>
      </c>
      <c r="L57" s="5" t="str">
        <f>IF(AND($K57&lt;&gt;"",Config!$B$2&lt;&gt;""), Config!$B$2 &amp; "?id=" &amp; $K57, "")</f>
        <v/>
      </c>
      <c r="M57" s="4"/>
      <c r="N57" s="4" t="str">
        <f t="shared" ca="1" si="0"/>
        <v/>
      </c>
      <c r="O57" s="4" t="s">
        <v>145</v>
      </c>
    </row>
    <row r="58" spans="1:15" x14ac:dyDescent="0.2">
      <c r="A58" s="4" t="s">
        <v>454</v>
      </c>
      <c r="B58" s="4" t="s">
        <v>163</v>
      </c>
      <c r="C58" s="4" t="s">
        <v>46</v>
      </c>
      <c r="D58" s="4" t="s">
        <v>143</v>
      </c>
      <c r="E58" s="4" t="s">
        <v>164</v>
      </c>
      <c r="F58" s="4" t="s">
        <v>30</v>
      </c>
      <c r="G58" s="4" t="s">
        <v>160</v>
      </c>
      <c r="H58" s="4" t="s">
        <v>33</v>
      </c>
      <c r="I58" s="4" t="s">
        <v>165</v>
      </c>
      <c r="J58" s="4"/>
      <c r="K58" s="4" t="s">
        <v>477</v>
      </c>
      <c r="L58" s="5" t="str">
        <f>IF(AND($K58&lt;&gt;"",Config!$B$2&lt;&gt;""), Config!$B$2 &amp; "?id=" &amp; $K58, "")</f>
        <v/>
      </c>
      <c r="M58" s="4"/>
      <c r="N58" s="4" t="str">
        <f t="shared" ca="1" si="0"/>
        <v/>
      </c>
      <c r="O58" s="4" t="s">
        <v>145</v>
      </c>
    </row>
    <row r="59" spans="1:15" x14ac:dyDescent="0.2">
      <c r="A59" s="4" t="s">
        <v>454</v>
      </c>
      <c r="B59" s="4" t="s">
        <v>166</v>
      </c>
      <c r="C59" s="4" t="s">
        <v>29</v>
      </c>
      <c r="D59" s="4" t="s">
        <v>143</v>
      </c>
      <c r="E59" s="4" t="s">
        <v>164</v>
      </c>
      <c r="F59" s="4" t="s">
        <v>30</v>
      </c>
      <c r="G59" s="4" t="s">
        <v>160</v>
      </c>
      <c r="H59" s="4" t="s">
        <v>33</v>
      </c>
      <c r="I59" s="4" t="s">
        <v>165</v>
      </c>
      <c r="J59" s="4"/>
      <c r="K59" s="4" t="s">
        <v>477</v>
      </c>
      <c r="L59" s="5" t="str">
        <f>IF(AND($K59&lt;&gt;"",Config!$B$2&lt;&gt;""), Config!$B$2 &amp; "?id=" &amp; $K59, "")</f>
        <v/>
      </c>
      <c r="M59" s="4"/>
      <c r="N59" s="4" t="str">
        <f t="shared" ca="1" si="0"/>
        <v/>
      </c>
      <c r="O59" s="4" t="s">
        <v>145</v>
      </c>
    </row>
    <row r="60" spans="1:15" x14ac:dyDescent="0.2">
      <c r="A60" s="4" t="s">
        <v>454</v>
      </c>
      <c r="B60" s="4" t="s">
        <v>167</v>
      </c>
      <c r="C60" s="4" t="s">
        <v>92</v>
      </c>
      <c r="D60" s="4" t="s">
        <v>143</v>
      </c>
      <c r="E60" s="4" t="s">
        <v>159</v>
      </c>
      <c r="F60" s="4" t="s">
        <v>30</v>
      </c>
      <c r="G60" s="4" t="s">
        <v>160</v>
      </c>
      <c r="H60" s="4" t="s">
        <v>62</v>
      </c>
      <c r="I60" s="4" t="s">
        <v>168</v>
      </c>
      <c r="J60" s="4"/>
      <c r="K60" s="4" t="s">
        <v>477</v>
      </c>
      <c r="L60" s="5" t="str">
        <f>IF(AND($K60&lt;&gt;"",Config!$B$2&lt;&gt;""), Config!$B$2 &amp; "?id=" &amp; $K60, "")</f>
        <v/>
      </c>
      <c r="M60" s="4"/>
      <c r="N60" s="4" t="str">
        <f t="shared" ca="1" si="0"/>
        <v/>
      </c>
      <c r="O60" s="4" t="s">
        <v>145</v>
      </c>
    </row>
    <row r="61" spans="1:15" x14ac:dyDescent="0.2">
      <c r="A61" s="4" t="s">
        <v>454</v>
      </c>
      <c r="B61" s="4" t="s">
        <v>169</v>
      </c>
      <c r="C61" s="4" t="s">
        <v>29</v>
      </c>
      <c r="D61" s="4" t="s">
        <v>143</v>
      </c>
      <c r="E61" s="4" t="s">
        <v>32</v>
      </c>
      <c r="F61" s="4" t="s">
        <v>137</v>
      </c>
      <c r="G61" s="4" t="s">
        <v>30</v>
      </c>
      <c r="H61" s="4" t="s">
        <v>33</v>
      </c>
      <c r="I61" s="4" t="s">
        <v>170</v>
      </c>
      <c r="J61" s="4"/>
      <c r="K61" s="4" t="s">
        <v>477</v>
      </c>
      <c r="L61" s="5" t="str">
        <f>IF(AND($K61&lt;&gt;"",Config!$B$2&lt;&gt;""), Config!$B$2 &amp; "?id=" &amp; $K61, "")</f>
        <v/>
      </c>
      <c r="M61" s="4"/>
      <c r="N61" s="4" t="str">
        <f t="shared" ca="1" si="0"/>
        <v/>
      </c>
      <c r="O61" s="4" t="s">
        <v>145</v>
      </c>
    </row>
    <row r="62" spans="1:15" x14ac:dyDescent="0.2">
      <c r="A62" s="4" t="s">
        <v>454</v>
      </c>
      <c r="B62" s="4" t="s">
        <v>171</v>
      </c>
      <c r="C62" s="4" t="s">
        <v>29</v>
      </c>
      <c r="D62" s="4" t="s">
        <v>143</v>
      </c>
      <c r="E62" s="4" t="s">
        <v>172</v>
      </c>
      <c r="F62" s="4" t="s">
        <v>30</v>
      </c>
      <c r="G62" s="4" t="s">
        <v>160</v>
      </c>
      <c r="H62" s="4" t="s">
        <v>173</v>
      </c>
      <c r="I62" s="4" t="s">
        <v>174</v>
      </c>
      <c r="J62" s="4"/>
      <c r="K62" s="4" t="s">
        <v>477</v>
      </c>
      <c r="L62" s="5" t="str">
        <f>IF(AND($K62&lt;&gt;"",Config!$B$2&lt;&gt;""), Config!$B$2 &amp; "?id=" &amp; $K62, "")</f>
        <v/>
      </c>
      <c r="M62" s="4"/>
      <c r="N62" s="4" t="str">
        <f t="shared" ca="1" si="0"/>
        <v/>
      </c>
      <c r="O62" s="4" t="s">
        <v>145</v>
      </c>
    </row>
    <row r="63" spans="1:15" x14ac:dyDescent="0.2">
      <c r="A63" s="4" t="s">
        <v>454</v>
      </c>
      <c r="B63" s="4" t="s">
        <v>175</v>
      </c>
      <c r="C63" s="4" t="s">
        <v>46</v>
      </c>
      <c r="D63" s="4" t="s">
        <v>143</v>
      </c>
      <c r="E63" s="4" t="s">
        <v>172</v>
      </c>
      <c r="F63" s="4" t="s">
        <v>30</v>
      </c>
      <c r="G63" s="4" t="s">
        <v>160</v>
      </c>
      <c r="H63" s="4" t="s">
        <v>173</v>
      </c>
      <c r="I63" s="4" t="s">
        <v>176</v>
      </c>
      <c r="J63" s="4"/>
      <c r="K63" s="4" t="s">
        <v>477</v>
      </c>
      <c r="L63" s="5" t="str">
        <f>IF(AND($K63&lt;&gt;"",Config!$B$2&lt;&gt;""), Config!$B$2 &amp; "?id=" &amp; $K63, "")</f>
        <v/>
      </c>
      <c r="M63" s="4"/>
      <c r="N63" s="4" t="str">
        <f t="shared" ca="1" si="0"/>
        <v/>
      </c>
      <c r="O63" s="4" t="s">
        <v>145</v>
      </c>
    </row>
    <row r="64" spans="1:15" x14ac:dyDescent="0.2">
      <c r="A64" s="4" t="s">
        <v>454</v>
      </c>
      <c r="B64" s="4" t="s">
        <v>177</v>
      </c>
      <c r="C64" s="4" t="s">
        <v>46</v>
      </c>
      <c r="D64" s="4" t="s">
        <v>143</v>
      </c>
      <c r="E64" s="4" t="s">
        <v>178</v>
      </c>
      <c r="F64" s="4" t="s">
        <v>148</v>
      </c>
      <c r="G64" s="4" t="s">
        <v>30</v>
      </c>
      <c r="H64" s="4" t="s">
        <v>62</v>
      </c>
      <c r="I64" s="4" t="s">
        <v>161</v>
      </c>
      <c r="J64" s="4"/>
      <c r="K64" s="4" t="s">
        <v>477</v>
      </c>
      <c r="L64" s="5" t="str">
        <f>IF(AND($K64&lt;&gt;"",Config!$B$2&lt;&gt;""), Config!$B$2 &amp; "?id=" &amp; $K64, "")</f>
        <v/>
      </c>
      <c r="M64" s="4"/>
      <c r="N64" s="4" t="str">
        <f t="shared" ca="1" si="0"/>
        <v/>
      </c>
      <c r="O64" s="4" t="s">
        <v>145</v>
      </c>
    </row>
    <row r="65" spans="1:15" x14ac:dyDescent="0.2">
      <c r="A65" s="4" t="s">
        <v>454</v>
      </c>
      <c r="B65" s="4" t="s">
        <v>179</v>
      </c>
      <c r="C65" s="4" t="s">
        <v>180</v>
      </c>
      <c r="D65" s="4" t="s">
        <v>143</v>
      </c>
      <c r="E65" s="4" t="s">
        <v>37</v>
      </c>
      <c r="F65" s="4" t="s">
        <v>37</v>
      </c>
      <c r="G65" s="4" t="s">
        <v>37</v>
      </c>
      <c r="H65" s="4" t="s">
        <v>37</v>
      </c>
      <c r="I65" s="4" t="s">
        <v>37</v>
      </c>
      <c r="J65" s="4"/>
      <c r="K65" s="4" t="s">
        <v>477</v>
      </c>
      <c r="L65" s="5" t="str">
        <f>IF(AND($K65&lt;&gt;"",Config!$B$2&lt;&gt;""), Config!$B$2 &amp; "?id=" &amp; $K65, "")</f>
        <v/>
      </c>
      <c r="M65" s="4"/>
      <c r="N65" s="4" t="str">
        <f t="shared" ca="1" si="0"/>
        <v/>
      </c>
      <c r="O65" s="4" t="s">
        <v>145</v>
      </c>
    </row>
    <row r="66" spans="1:15" x14ac:dyDescent="0.2">
      <c r="A66" s="4" t="s">
        <v>454</v>
      </c>
      <c r="B66" s="4" t="s">
        <v>181</v>
      </c>
      <c r="C66" s="4" t="s">
        <v>180</v>
      </c>
      <c r="D66" s="4" t="s">
        <v>107</v>
      </c>
      <c r="E66" s="4" t="s">
        <v>37</v>
      </c>
      <c r="F66" s="4" t="s">
        <v>37</v>
      </c>
      <c r="G66" s="4" t="s">
        <v>37</v>
      </c>
      <c r="H66" s="4" t="s">
        <v>37</v>
      </c>
      <c r="I66" s="4" t="s">
        <v>37</v>
      </c>
      <c r="J66" s="4"/>
      <c r="K66" s="4" t="s">
        <v>476</v>
      </c>
      <c r="L66" s="5" t="str">
        <f>IF(AND($K66&lt;&gt;"",Config!$B$2&lt;&gt;""), Config!$B$2 &amp; "?id=" &amp; $K66, "")</f>
        <v/>
      </c>
      <c r="M66" s="4"/>
      <c r="N66" s="4" t="str">
        <f t="shared" ref="N66:N129" ca="1" si="1">IF($L66&lt;&gt;"","https://api.qrserver.com/v1/create-qr-code/?size=200x200&amp;data=" &amp; SUBSTITUTE($L66," ","%20") &amp; "&amp;cb=" &amp; TEXT(NOW(),"yyyymmddhhmmss"),"")</f>
        <v/>
      </c>
      <c r="O66" s="4" t="s">
        <v>182</v>
      </c>
    </row>
    <row r="67" spans="1:15" x14ac:dyDescent="0.2">
      <c r="A67" s="4" t="s">
        <v>454</v>
      </c>
      <c r="B67" s="4" t="s">
        <v>183</v>
      </c>
      <c r="C67" s="4" t="s">
        <v>184</v>
      </c>
      <c r="D67" s="4" t="s">
        <v>107</v>
      </c>
      <c r="E67" s="4" t="s">
        <v>37</v>
      </c>
      <c r="F67" s="4" t="s">
        <v>37</v>
      </c>
      <c r="G67" s="4" t="s">
        <v>37</v>
      </c>
      <c r="H67" s="4" t="s">
        <v>37</v>
      </c>
      <c r="I67" s="4" t="s">
        <v>37</v>
      </c>
      <c r="J67" s="4"/>
      <c r="K67" s="4" t="s">
        <v>476</v>
      </c>
      <c r="L67" s="5" t="str">
        <f>IF(AND($K67&lt;&gt;"",Config!$B$2&lt;&gt;""), Config!$B$2 &amp; "?id=" &amp; $K67, "")</f>
        <v/>
      </c>
      <c r="M67" s="4"/>
      <c r="N67" s="4" t="str">
        <f t="shared" ca="1" si="1"/>
        <v/>
      </c>
      <c r="O67" s="4" t="s">
        <v>182</v>
      </c>
    </row>
    <row r="68" spans="1:15" x14ac:dyDescent="0.2">
      <c r="A68" s="4" t="s">
        <v>454</v>
      </c>
      <c r="B68" s="4" t="s">
        <v>185</v>
      </c>
      <c r="C68" s="4" t="s">
        <v>42</v>
      </c>
      <c r="D68" s="4" t="s">
        <v>107</v>
      </c>
      <c r="E68" s="4" t="s">
        <v>37</v>
      </c>
      <c r="F68" s="4" t="s">
        <v>37</v>
      </c>
      <c r="G68" s="4" t="s">
        <v>37</v>
      </c>
      <c r="H68" s="4" t="s">
        <v>37</v>
      </c>
      <c r="I68" s="4" t="s">
        <v>37</v>
      </c>
      <c r="J68" s="4"/>
      <c r="K68" s="4" t="s">
        <v>476</v>
      </c>
      <c r="L68" s="5" t="str">
        <f>IF(AND($K68&lt;&gt;"",Config!$B$2&lt;&gt;""), Config!$B$2 &amp; "?id=" &amp; $K68, "")</f>
        <v/>
      </c>
      <c r="M68" s="4"/>
      <c r="N68" s="4" t="str">
        <f t="shared" ca="1" si="1"/>
        <v/>
      </c>
      <c r="O68" s="4" t="s">
        <v>182</v>
      </c>
    </row>
    <row r="69" spans="1:15" x14ac:dyDescent="0.2">
      <c r="A69" s="4" t="s">
        <v>454</v>
      </c>
      <c r="B69" s="4" t="s">
        <v>186</v>
      </c>
      <c r="C69" s="4" t="s">
        <v>29</v>
      </c>
      <c r="D69" s="4" t="s">
        <v>107</v>
      </c>
      <c r="E69" s="4" t="s">
        <v>37</v>
      </c>
      <c r="F69" s="4" t="s">
        <v>37</v>
      </c>
      <c r="G69" s="4" t="s">
        <v>37</v>
      </c>
      <c r="H69" s="4" t="s">
        <v>37</v>
      </c>
      <c r="I69" s="4" t="s">
        <v>37</v>
      </c>
      <c r="J69" s="4"/>
      <c r="K69" s="4" t="s">
        <v>476</v>
      </c>
      <c r="L69" s="5" t="str">
        <f>IF(AND($K69&lt;&gt;"",Config!$B$2&lt;&gt;""), Config!$B$2 &amp; "?id=" &amp; $K69, "")</f>
        <v/>
      </c>
      <c r="M69" s="4"/>
      <c r="N69" s="4" t="str">
        <f t="shared" ca="1" si="1"/>
        <v/>
      </c>
      <c r="O69" s="4" t="s">
        <v>182</v>
      </c>
    </row>
    <row r="70" spans="1:15" x14ac:dyDescent="0.2">
      <c r="A70" s="4" t="s">
        <v>454</v>
      </c>
      <c r="B70" s="4" t="s">
        <v>187</v>
      </c>
      <c r="C70" s="4" t="s">
        <v>180</v>
      </c>
      <c r="D70" s="4" t="s">
        <v>107</v>
      </c>
      <c r="E70" s="4" t="s">
        <v>37</v>
      </c>
      <c r="F70" s="4" t="s">
        <v>37</v>
      </c>
      <c r="G70" s="4" t="s">
        <v>37</v>
      </c>
      <c r="H70" s="4" t="s">
        <v>37</v>
      </c>
      <c r="I70" s="4" t="s">
        <v>37</v>
      </c>
      <c r="J70" s="4"/>
      <c r="K70" s="4" t="s">
        <v>476</v>
      </c>
      <c r="L70" s="5" t="str">
        <f>IF(AND($K70&lt;&gt;"",Config!$B$2&lt;&gt;""), Config!$B$2 &amp; "?id=" &amp; $K70, "")</f>
        <v/>
      </c>
      <c r="M70" s="4"/>
      <c r="N70" s="4" t="str">
        <f t="shared" ca="1" si="1"/>
        <v/>
      </c>
      <c r="O70" s="4" t="s">
        <v>182</v>
      </c>
    </row>
    <row r="71" spans="1:15" x14ac:dyDescent="0.2">
      <c r="A71" s="4" t="s">
        <v>454</v>
      </c>
      <c r="B71" s="4" t="s">
        <v>188</v>
      </c>
      <c r="C71" s="4" t="s">
        <v>189</v>
      </c>
      <c r="D71" s="4" t="s">
        <v>30</v>
      </c>
      <c r="E71" s="4" t="s">
        <v>159</v>
      </c>
      <c r="F71" s="4" t="s">
        <v>30</v>
      </c>
      <c r="G71" s="4" t="s">
        <v>30</v>
      </c>
      <c r="H71" s="4" t="s">
        <v>33</v>
      </c>
      <c r="I71" s="4" t="s">
        <v>170</v>
      </c>
      <c r="J71" s="4"/>
      <c r="K71" s="4" t="s">
        <v>475</v>
      </c>
      <c r="L71" s="5" t="str">
        <f>IF(AND($K71&lt;&gt;"",Config!$B$2&lt;&gt;""), Config!$B$2 &amp; "?id=" &amp; $K71, "")</f>
        <v/>
      </c>
      <c r="M71" s="4"/>
      <c r="N71" s="4" t="str">
        <f t="shared" ca="1" si="1"/>
        <v/>
      </c>
      <c r="O71" s="4" t="s">
        <v>190</v>
      </c>
    </row>
    <row r="72" spans="1:15" x14ac:dyDescent="0.2">
      <c r="A72" s="4" t="s">
        <v>454</v>
      </c>
      <c r="B72" s="4" t="s">
        <v>191</v>
      </c>
      <c r="C72" s="4" t="s">
        <v>39</v>
      </c>
      <c r="D72" s="4" t="s">
        <v>30</v>
      </c>
      <c r="E72" s="4" t="s">
        <v>159</v>
      </c>
      <c r="F72" s="4" t="s">
        <v>30</v>
      </c>
      <c r="G72" s="4" t="s">
        <v>30</v>
      </c>
      <c r="H72" s="4" t="s">
        <v>33</v>
      </c>
      <c r="I72" s="4" t="s">
        <v>170</v>
      </c>
      <c r="J72" s="4"/>
      <c r="K72" s="4" t="s">
        <v>475</v>
      </c>
      <c r="L72" s="5" t="str">
        <f>IF(AND($K72&lt;&gt;"",Config!$B$2&lt;&gt;""), Config!$B$2 &amp; "?id=" &amp; $K72, "")</f>
        <v/>
      </c>
      <c r="M72" s="4"/>
      <c r="N72" s="4" t="str">
        <f t="shared" ca="1" si="1"/>
        <v/>
      </c>
      <c r="O72" s="4" t="s">
        <v>190</v>
      </c>
    </row>
    <row r="73" spans="1:15" x14ac:dyDescent="0.2">
      <c r="A73" s="4" t="s">
        <v>454</v>
      </c>
      <c r="B73" s="4" t="s">
        <v>192</v>
      </c>
      <c r="C73" s="4" t="s">
        <v>46</v>
      </c>
      <c r="D73" s="4" t="s">
        <v>30</v>
      </c>
      <c r="E73" s="4" t="s">
        <v>159</v>
      </c>
      <c r="F73" s="4" t="s">
        <v>30</v>
      </c>
      <c r="G73" s="4" t="s">
        <v>30</v>
      </c>
      <c r="H73" s="4" t="s">
        <v>33</v>
      </c>
      <c r="I73" s="4" t="s">
        <v>193</v>
      </c>
      <c r="J73" s="4"/>
      <c r="K73" s="4" t="s">
        <v>475</v>
      </c>
      <c r="L73" s="5" t="str">
        <f>IF(AND($K73&lt;&gt;"",Config!$B$2&lt;&gt;""), Config!$B$2 &amp; "?id=" &amp; $K73, "")</f>
        <v/>
      </c>
      <c r="M73" s="4"/>
      <c r="N73" s="4" t="str">
        <f t="shared" ca="1" si="1"/>
        <v/>
      </c>
      <c r="O73" s="4" t="s">
        <v>190</v>
      </c>
    </row>
    <row r="74" spans="1:15" x14ac:dyDescent="0.2">
      <c r="A74" s="4" t="s">
        <v>454</v>
      </c>
      <c r="B74" s="4" t="s">
        <v>194</v>
      </c>
      <c r="C74" s="4" t="s">
        <v>180</v>
      </c>
      <c r="D74" s="4" t="s">
        <v>30</v>
      </c>
      <c r="E74" s="4" t="s">
        <v>37</v>
      </c>
      <c r="F74" s="4" t="s">
        <v>37</v>
      </c>
      <c r="G74" s="4" t="s">
        <v>37</v>
      </c>
      <c r="H74" s="4" t="s">
        <v>37</v>
      </c>
      <c r="I74" s="4" t="s">
        <v>37</v>
      </c>
      <c r="J74" s="4"/>
      <c r="K74" s="4" t="s">
        <v>475</v>
      </c>
      <c r="L74" s="5" t="str">
        <f>IF(AND($K74&lt;&gt;"",Config!$B$2&lt;&gt;""), Config!$B$2 &amp; "?id=" &amp; $K74, "")</f>
        <v/>
      </c>
      <c r="M74" s="4"/>
      <c r="N74" s="4" t="str">
        <f t="shared" ca="1" si="1"/>
        <v/>
      </c>
      <c r="O74" s="4" t="s">
        <v>190</v>
      </c>
    </row>
    <row r="75" spans="1:15" x14ac:dyDescent="0.2">
      <c r="A75" s="4" t="s">
        <v>454</v>
      </c>
      <c r="B75" s="4" t="s">
        <v>195</v>
      </c>
      <c r="C75" s="4" t="s">
        <v>189</v>
      </c>
      <c r="D75" s="4" t="s">
        <v>30</v>
      </c>
      <c r="E75" s="4" t="s">
        <v>196</v>
      </c>
      <c r="F75" s="4" t="s">
        <v>30</v>
      </c>
      <c r="G75" s="4" t="s">
        <v>30</v>
      </c>
      <c r="H75" s="4" t="s">
        <v>33</v>
      </c>
      <c r="I75" s="4" t="s">
        <v>197</v>
      </c>
      <c r="J75" s="4"/>
      <c r="K75" s="4" t="s">
        <v>475</v>
      </c>
      <c r="L75" s="5" t="str">
        <f>IF(AND($K75&lt;&gt;"",Config!$B$2&lt;&gt;""), Config!$B$2 &amp; "?id=" &amp; $K75, "")</f>
        <v/>
      </c>
      <c r="M75" s="4"/>
      <c r="N75" s="4" t="str">
        <f t="shared" ca="1" si="1"/>
        <v/>
      </c>
      <c r="O75" s="4" t="s">
        <v>190</v>
      </c>
    </row>
    <row r="76" spans="1:15" x14ac:dyDescent="0.2">
      <c r="A76" s="4" t="s">
        <v>454</v>
      </c>
      <c r="B76" s="4" t="s">
        <v>198</v>
      </c>
      <c r="C76" s="4" t="s">
        <v>39</v>
      </c>
      <c r="D76" s="4" t="s">
        <v>30</v>
      </c>
      <c r="E76" s="4" t="s">
        <v>196</v>
      </c>
      <c r="F76" s="4" t="s">
        <v>30</v>
      </c>
      <c r="G76" s="4" t="s">
        <v>30</v>
      </c>
      <c r="H76" s="4" t="s">
        <v>33</v>
      </c>
      <c r="I76" s="4" t="s">
        <v>197</v>
      </c>
      <c r="J76" s="4"/>
      <c r="K76" s="4" t="s">
        <v>475</v>
      </c>
      <c r="L76" s="5" t="str">
        <f>IF(AND($K76&lt;&gt;"",Config!$B$2&lt;&gt;""), Config!$B$2 &amp; "?id=" &amp; $K76, "")</f>
        <v/>
      </c>
      <c r="M76" s="4"/>
      <c r="N76" s="4" t="str">
        <f t="shared" ca="1" si="1"/>
        <v/>
      </c>
      <c r="O76" s="4" t="s">
        <v>190</v>
      </c>
    </row>
    <row r="77" spans="1:15" x14ac:dyDescent="0.2">
      <c r="A77" s="4" t="s">
        <v>454</v>
      </c>
      <c r="B77" s="4" t="s">
        <v>199</v>
      </c>
      <c r="C77" s="4" t="s">
        <v>46</v>
      </c>
      <c r="D77" s="4" t="s">
        <v>30</v>
      </c>
      <c r="E77" s="4" t="s">
        <v>196</v>
      </c>
      <c r="F77" s="4" t="s">
        <v>30</v>
      </c>
      <c r="G77" s="4" t="s">
        <v>30</v>
      </c>
      <c r="H77" s="4" t="s">
        <v>33</v>
      </c>
      <c r="I77" s="4" t="s">
        <v>200</v>
      </c>
      <c r="J77" s="4"/>
      <c r="K77" s="4" t="s">
        <v>475</v>
      </c>
      <c r="L77" s="5" t="str">
        <f>IF(AND($K77&lt;&gt;"",Config!$B$2&lt;&gt;""), Config!$B$2 &amp; "?id=" &amp; $K77, "")</f>
        <v/>
      </c>
      <c r="M77" s="4"/>
      <c r="N77" s="4" t="str">
        <f t="shared" ca="1" si="1"/>
        <v/>
      </c>
      <c r="O77" s="4" t="s">
        <v>190</v>
      </c>
    </row>
    <row r="78" spans="1:15" x14ac:dyDescent="0.2">
      <c r="A78" s="4" t="s">
        <v>454</v>
      </c>
      <c r="B78" s="4" t="s">
        <v>201</v>
      </c>
      <c r="C78" s="4" t="s">
        <v>184</v>
      </c>
      <c r="D78" s="4" t="s">
        <v>143</v>
      </c>
      <c r="E78" s="4" t="s">
        <v>202</v>
      </c>
      <c r="F78" s="4" t="s">
        <v>203</v>
      </c>
      <c r="G78" s="4" t="s">
        <v>203</v>
      </c>
      <c r="H78" s="4" t="s">
        <v>33</v>
      </c>
      <c r="I78" s="4" t="s">
        <v>204</v>
      </c>
      <c r="J78" s="4"/>
      <c r="K78" s="4" t="s">
        <v>474</v>
      </c>
      <c r="L78" s="5" t="str">
        <f>IF(AND($K78&lt;&gt;"",Config!$B$2&lt;&gt;""), Config!$B$2 &amp; "?id=" &amp; $K78, "")</f>
        <v/>
      </c>
      <c r="M78" s="4"/>
      <c r="N78" s="4" t="str">
        <f t="shared" ca="1" si="1"/>
        <v/>
      </c>
      <c r="O78" s="4" t="s">
        <v>205</v>
      </c>
    </row>
    <row r="79" spans="1:15" x14ac:dyDescent="0.2">
      <c r="A79" s="4" t="s">
        <v>454</v>
      </c>
      <c r="B79" s="4" t="s">
        <v>206</v>
      </c>
      <c r="C79" s="4" t="s">
        <v>92</v>
      </c>
      <c r="D79" s="4" t="s">
        <v>143</v>
      </c>
      <c r="E79" s="4" t="s">
        <v>202</v>
      </c>
      <c r="F79" s="4" t="s">
        <v>203</v>
      </c>
      <c r="G79" s="4" t="s">
        <v>203</v>
      </c>
      <c r="H79" s="4" t="s">
        <v>33</v>
      </c>
      <c r="I79" s="4" t="s">
        <v>204</v>
      </c>
      <c r="J79" s="4"/>
      <c r="K79" s="4" t="s">
        <v>474</v>
      </c>
      <c r="L79" s="5" t="str">
        <f>IF(AND($K79&lt;&gt;"",Config!$B$2&lt;&gt;""), Config!$B$2 &amp; "?id=" &amp; $K79, "")</f>
        <v/>
      </c>
      <c r="M79" s="4"/>
      <c r="N79" s="4" t="str">
        <f t="shared" ca="1" si="1"/>
        <v/>
      </c>
      <c r="O79" s="4" t="s">
        <v>205</v>
      </c>
    </row>
    <row r="80" spans="1:15" x14ac:dyDescent="0.2">
      <c r="A80" s="4" t="s">
        <v>454</v>
      </c>
      <c r="B80" s="4" t="s">
        <v>207</v>
      </c>
      <c r="C80" s="4" t="s">
        <v>29</v>
      </c>
      <c r="D80" s="4" t="s">
        <v>143</v>
      </c>
      <c r="E80" s="4" t="s">
        <v>202</v>
      </c>
      <c r="F80" s="4" t="s">
        <v>203</v>
      </c>
      <c r="G80" s="4" t="s">
        <v>203</v>
      </c>
      <c r="H80" s="4" t="s">
        <v>33</v>
      </c>
      <c r="I80" s="4" t="s">
        <v>204</v>
      </c>
      <c r="J80" s="4"/>
      <c r="K80" s="4" t="s">
        <v>474</v>
      </c>
      <c r="L80" s="5" t="str">
        <f>IF(AND($K80&lt;&gt;"",Config!$B$2&lt;&gt;""), Config!$B$2 &amp; "?id=" &amp; $K80, "")</f>
        <v/>
      </c>
      <c r="M80" s="4"/>
      <c r="N80" s="4" t="str">
        <f t="shared" ca="1" si="1"/>
        <v/>
      </c>
      <c r="O80" s="4" t="s">
        <v>205</v>
      </c>
    </row>
    <row r="81" spans="1:15" x14ac:dyDescent="0.2">
      <c r="A81" s="4" t="s">
        <v>454</v>
      </c>
      <c r="B81" s="4" t="s">
        <v>208</v>
      </c>
      <c r="C81" s="4" t="s">
        <v>189</v>
      </c>
      <c r="D81" s="4" t="s">
        <v>143</v>
      </c>
      <c r="E81" s="4" t="s">
        <v>202</v>
      </c>
      <c r="F81" s="4" t="s">
        <v>203</v>
      </c>
      <c r="G81" s="4" t="s">
        <v>203</v>
      </c>
      <c r="H81" s="4" t="s">
        <v>33</v>
      </c>
      <c r="I81" s="4" t="s">
        <v>204</v>
      </c>
      <c r="J81" s="4"/>
      <c r="K81" s="4" t="s">
        <v>474</v>
      </c>
      <c r="L81" s="5" t="str">
        <f>IF(AND($K81&lt;&gt;"",Config!$B$2&lt;&gt;""), Config!$B$2 &amp; "?id=" &amp; $K81, "")</f>
        <v/>
      </c>
      <c r="M81" s="4"/>
      <c r="N81" s="4" t="str">
        <f t="shared" ca="1" si="1"/>
        <v/>
      </c>
      <c r="O81" s="4" t="s">
        <v>205</v>
      </c>
    </row>
    <row r="82" spans="1:15" x14ac:dyDescent="0.2">
      <c r="A82" s="4" t="s">
        <v>454</v>
      </c>
      <c r="B82" s="4" t="s">
        <v>209</v>
      </c>
      <c r="C82" s="4" t="s">
        <v>92</v>
      </c>
      <c r="D82" s="4" t="s">
        <v>143</v>
      </c>
      <c r="E82" s="4" t="s">
        <v>210</v>
      </c>
      <c r="F82" s="4" t="s">
        <v>203</v>
      </c>
      <c r="G82" s="4" t="s">
        <v>203</v>
      </c>
      <c r="H82" s="4" t="s">
        <v>33</v>
      </c>
      <c r="I82" s="4" t="s">
        <v>211</v>
      </c>
      <c r="J82" s="4"/>
      <c r="K82" s="4" t="s">
        <v>474</v>
      </c>
      <c r="L82" s="5" t="str">
        <f>IF(AND($K82&lt;&gt;"",Config!$B$2&lt;&gt;""), Config!$B$2 &amp; "?id=" &amp; $K82, "")</f>
        <v/>
      </c>
      <c r="M82" s="4"/>
      <c r="N82" s="4" t="str">
        <f t="shared" ca="1" si="1"/>
        <v/>
      </c>
      <c r="O82" s="4" t="s">
        <v>205</v>
      </c>
    </row>
    <row r="83" spans="1:15" x14ac:dyDescent="0.2">
      <c r="A83" s="4" t="s">
        <v>454</v>
      </c>
      <c r="B83" s="4" t="s">
        <v>212</v>
      </c>
      <c r="C83" s="4" t="s">
        <v>184</v>
      </c>
      <c r="D83" s="4" t="s">
        <v>143</v>
      </c>
      <c r="E83" s="4" t="s">
        <v>210</v>
      </c>
      <c r="F83" s="4" t="s">
        <v>203</v>
      </c>
      <c r="G83" s="4" t="s">
        <v>203</v>
      </c>
      <c r="H83" s="4" t="s">
        <v>33</v>
      </c>
      <c r="I83" s="4" t="s">
        <v>211</v>
      </c>
      <c r="J83" s="4"/>
      <c r="K83" s="4" t="s">
        <v>474</v>
      </c>
      <c r="L83" s="5" t="str">
        <f>IF(AND($K83&lt;&gt;"",Config!$B$2&lt;&gt;""), Config!$B$2 &amp; "?id=" &amp; $K83, "")</f>
        <v/>
      </c>
      <c r="M83" s="4"/>
      <c r="N83" s="4" t="str">
        <f t="shared" ca="1" si="1"/>
        <v/>
      </c>
      <c r="O83" s="4" t="s">
        <v>205</v>
      </c>
    </row>
    <row r="84" spans="1:15" x14ac:dyDescent="0.2">
      <c r="A84" s="4" t="s">
        <v>454</v>
      </c>
      <c r="B84" s="4" t="s">
        <v>213</v>
      </c>
      <c r="C84" s="4" t="s">
        <v>92</v>
      </c>
      <c r="D84" s="4" t="s">
        <v>143</v>
      </c>
      <c r="E84" s="4" t="s">
        <v>210</v>
      </c>
      <c r="F84" s="4" t="s">
        <v>203</v>
      </c>
      <c r="G84" s="4" t="s">
        <v>203</v>
      </c>
      <c r="H84" s="4" t="s">
        <v>33</v>
      </c>
      <c r="I84" s="4" t="s">
        <v>211</v>
      </c>
      <c r="J84" s="4"/>
      <c r="K84" s="4" t="s">
        <v>474</v>
      </c>
      <c r="L84" s="5" t="str">
        <f>IF(AND($K84&lt;&gt;"",Config!$B$2&lt;&gt;""), Config!$B$2 &amp; "?id=" &amp; $K84, "")</f>
        <v/>
      </c>
      <c r="M84" s="4"/>
      <c r="N84" s="4" t="str">
        <f t="shared" ca="1" si="1"/>
        <v/>
      </c>
      <c r="O84" s="4" t="s">
        <v>205</v>
      </c>
    </row>
    <row r="85" spans="1:15" x14ac:dyDescent="0.2">
      <c r="A85" s="4" t="s">
        <v>454</v>
      </c>
      <c r="B85" s="4" t="s">
        <v>214</v>
      </c>
      <c r="C85" s="4" t="s">
        <v>92</v>
      </c>
      <c r="D85" s="4" t="s">
        <v>143</v>
      </c>
      <c r="E85" s="4" t="s">
        <v>202</v>
      </c>
      <c r="F85" s="4" t="s">
        <v>203</v>
      </c>
      <c r="G85" s="4" t="s">
        <v>203</v>
      </c>
      <c r="H85" s="4" t="s">
        <v>62</v>
      </c>
      <c r="I85" s="4" t="s">
        <v>215</v>
      </c>
      <c r="J85" s="4"/>
      <c r="K85" s="4" t="s">
        <v>474</v>
      </c>
      <c r="L85" s="5" t="str">
        <f>IF(AND($K85&lt;&gt;"",Config!$B$2&lt;&gt;""), Config!$B$2 &amp; "?id=" &amp; $K85, "")</f>
        <v/>
      </c>
      <c r="M85" s="4"/>
      <c r="N85" s="4" t="str">
        <f t="shared" ca="1" si="1"/>
        <v/>
      </c>
      <c r="O85" s="4" t="s">
        <v>205</v>
      </c>
    </row>
    <row r="86" spans="1:15" x14ac:dyDescent="0.2">
      <c r="A86" s="4" t="s">
        <v>454</v>
      </c>
      <c r="B86" s="4" t="s">
        <v>216</v>
      </c>
      <c r="C86" s="4" t="s">
        <v>29</v>
      </c>
      <c r="D86" s="4" t="s">
        <v>143</v>
      </c>
      <c r="E86" s="4" t="s">
        <v>217</v>
      </c>
      <c r="F86" s="4" t="s">
        <v>203</v>
      </c>
      <c r="G86" s="4" t="s">
        <v>160</v>
      </c>
      <c r="H86" s="4" t="s">
        <v>33</v>
      </c>
      <c r="I86" s="4" t="s">
        <v>218</v>
      </c>
      <c r="J86" s="4"/>
      <c r="K86" s="4" t="s">
        <v>474</v>
      </c>
      <c r="L86" s="5" t="str">
        <f>IF(AND($K86&lt;&gt;"",Config!$B$2&lt;&gt;""), Config!$B$2 &amp; "?id=" &amp; $K86, "")</f>
        <v/>
      </c>
      <c r="M86" s="4"/>
      <c r="N86" s="4" t="str">
        <f t="shared" ca="1" si="1"/>
        <v/>
      </c>
      <c r="O86" s="4" t="s">
        <v>205</v>
      </c>
    </row>
    <row r="87" spans="1:15" x14ac:dyDescent="0.2">
      <c r="A87" s="4" t="s">
        <v>454</v>
      </c>
      <c r="B87" s="4" t="s">
        <v>219</v>
      </c>
      <c r="C87" s="4" t="s">
        <v>180</v>
      </c>
      <c r="D87" s="4" t="s">
        <v>220</v>
      </c>
      <c r="E87" s="4" t="s">
        <v>37</v>
      </c>
      <c r="F87" s="4" t="s">
        <v>37</v>
      </c>
      <c r="G87" s="4" t="s">
        <v>37</v>
      </c>
      <c r="H87" s="4" t="s">
        <v>37</v>
      </c>
      <c r="I87" s="4" t="s">
        <v>37</v>
      </c>
      <c r="J87" s="4"/>
      <c r="K87" s="4" t="s">
        <v>474</v>
      </c>
      <c r="L87" s="5" t="str">
        <f>IF(AND($K87&lt;&gt;"",Config!$B$2&lt;&gt;""), Config!$B$2 &amp; "?id=" &amp; $K87, "")</f>
        <v/>
      </c>
      <c r="M87" s="4"/>
      <c r="N87" s="4" t="str">
        <f t="shared" ca="1" si="1"/>
        <v/>
      </c>
      <c r="O87" s="4" t="s">
        <v>205</v>
      </c>
    </row>
    <row r="88" spans="1:15" x14ac:dyDescent="0.2">
      <c r="A88" s="4" t="s">
        <v>454</v>
      </c>
      <c r="B88" s="4" t="s">
        <v>221</v>
      </c>
      <c r="C88" s="4" t="s">
        <v>180</v>
      </c>
      <c r="D88" s="4" t="s">
        <v>220</v>
      </c>
      <c r="E88" s="4" t="s">
        <v>37</v>
      </c>
      <c r="F88" s="4" t="s">
        <v>37</v>
      </c>
      <c r="G88" s="4" t="s">
        <v>37</v>
      </c>
      <c r="H88" s="4" t="s">
        <v>37</v>
      </c>
      <c r="I88" s="4" t="s">
        <v>37</v>
      </c>
      <c r="J88" s="4"/>
      <c r="K88" s="4" t="s">
        <v>474</v>
      </c>
      <c r="L88" s="5" t="str">
        <f>IF(AND($K88&lt;&gt;"",Config!$B$2&lt;&gt;""), Config!$B$2 &amp; "?id=" &amp; $K88, "")</f>
        <v/>
      </c>
      <c r="M88" s="4"/>
      <c r="N88" s="4" t="str">
        <f t="shared" ca="1" si="1"/>
        <v/>
      </c>
      <c r="O88" s="4" t="s">
        <v>205</v>
      </c>
    </row>
    <row r="89" spans="1:15" x14ac:dyDescent="0.2">
      <c r="A89" s="4" t="s">
        <v>454</v>
      </c>
      <c r="B89" s="4" t="s">
        <v>222</v>
      </c>
      <c r="C89" s="4" t="s">
        <v>29</v>
      </c>
      <c r="D89" s="4" t="s">
        <v>143</v>
      </c>
      <c r="E89" s="4" t="s">
        <v>159</v>
      </c>
      <c r="F89" s="4" t="s">
        <v>203</v>
      </c>
      <c r="G89" s="4" t="s">
        <v>203</v>
      </c>
      <c r="H89" s="4" t="s">
        <v>76</v>
      </c>
      <c r="I89" s="4" t="s">
        <v>223</v>
      </c>
      <c r="J89" s="4"/>
      <c r="K89" s="4" t="s">
        <v>474</v>
      </c>
      <c r="L89" s="5" t="str">
        <f>IF(AND($K89&lt;&gt;"",Config!$B$2&lt;&gt;""), Config!$B$2 &amp; "?id=" &amp; $K89, "")</f>
        <v/>
      </c>
      <c r="M89" s="4"/>
      <c r="N89" s="4" t="str">
        <f t="shared" ca="1" si="1"/>
        <v/>
      </c>
      <c r="O89" s="4" t="s">
        <v>205</v>
      </c>
    </row>
    <row r="90" spans="1:15" x14ac:dyDescent="0.2">
      <c r="A90" s="4" t="s">
        <v>454</v>
      </c>
      <c r="B90" s="4" t="s">
        <v>224</v>
      </c>
      <c r="C90" s="4" t="s">
        <v>46</v>
      </c>
      <c r="D90" s="4" t="s">
        <v>30</v>
      </c>
      <c r="E90" s="4" t="s">
        <v>159</v>
      </c>
      <c r="F90" s="4" t="s">
        <v>30</v>
      </c>
      <c r="G90" s="4" t="s">
        <v>30</v>
      </c>
      <c r="H90" s="4" t="s">
        <v>62</v>
      </c>
      <c r="I90" s="4" t="s">
        <v>225</v>
      </c>
      <c r="J90" s="4"/>
      <c r="K90" s="4" t="s">
        <v>474</v>
      </c>
      <c r="L90" s="5" t="str">
        <f>IF(AND($K90&lt;&gt;"",Config!$B$2&lt;&gt;""), Config!$B$2 &amp; "?id=" &amp; $K90, "")</f>
        <v/>
      </c>
      <c r="M90" s="4"/>
      <c r="N90" s="4" t="str">
        <f t="shared" ca="1" si="1"/>
        <v/>
      </c>
      <c r="O90" s="4" t="s">
        <v>205</v>
      </c>
    </row>
    <row r="91" spans="1:15" x14ac:dyDescent="0.2">
      <c r="A91" s="4" t="s">
        <v>454</v>
      </c>
      <c r="B91" s="4" t="s">
        <v>226</v>
      </c>
      <c r="C91" s="4" t="s">
        <v>227</v>
      </c>
      <c r="D91" s="4" t="s">
        <v>30</v>
      </c>
      <c r="E91" s="4" t="s">
        <v>159</v>
      </c>
      <c r="F91" s="4" t="s">
        <v>30</v>
      </c>
      <c r="G91" s="4" t="s">
        <v>30</v>
      </c>
      <c r="H91" s="4" t="s">
        <v>62</v>
      </c>
      <c r="I91" s="4" t="s">
        <v>225</v>
      </c>
      <c r="J91" s="4"/>
      <c r="K91" s="4" t="s">
        <v>474</v>
      </c>
      <c r="L91" s="5" t="str">
        <f>IF(AND($K91&lt;&gt;"",Config!$B$2&lt;&gt;""), Config!$B$2 &amp; "?id=" &amp; $K91, "")</f>
        <v/>
      </c>
      <c r="M91" s="4"/>
      <c r="N91" s="4" t="str">
        <f t="shared" ca="1" si="1"/>
        <v/>
      </c>
      <c r="O91" s="4" t="s">
        <v>205</v>
      </c>
    </row>
    <row r="92" spans="1:15" x14ac:dyDescent="0.2">
      <c r="A92" s="4" t="s">
        <v>454</v>
      </c>
      <c r="B92" s="4" t="s">
        <v>228</v>
      </c>
      <c r="C92" s="4" t="s">
        <v>46</v>
      </c>
      <c r="D92" s="4" t="s">
        <v>143</v>
      </c>
      <c r="E92" s="4" t="s">
        <v>159</v>
      </c>
      <c r="F92" s="4" t="s">
        <v>203</v>
      </c>
      <c r="G92" s="4" t="s">
        <v>160</v>
      </c>
      <c r="H92" s="4" t="s">
        <v>33</v>
      </c>
      <c r="I92" s="4" t="s">
        <v>229</v>
      </c>
      <c r="J92" s="4"/>
      <c r="K92" s="4" t="s">
        <v>474</v>
      </c>
      <c r="L92" s="5" t="str">
        <f>IF(AND($K92&lt;&gt;"",Config!$B$2&lt;&gt;""), Config!$B$2 &amp; "?id=" &amp; $K92, "")</f>
        <v/>
      </c>
      <c r="M92" s="4"/>
      <c r="N92" s="4" t="str">
        <f t="shared" ca="1" si="1"/>
        <v/>
      </c>
      <c r="O92" s="4" t="s">
        <v>205</v>
      </c>
    </row>
    <row r="93" spans="1:15" x14ac:dyDescent="0.2">
      <c r="A93" s="4" t="s">
        <v>454</v>
      </c>
      <c r="B93" s="4" t="s">
        <v>230</v>
      </c>
      <c r="C93" s="4" t="s">
        <v>46</v>
      </c>
      <c r="D93" s="4" t="s">
        <v>93</v>
      </c>
      <c r="E93" s="4" t="s">
        <v>172</v>
      </c>
      <c r="F93" s="4" t="s">
        <v>93</v>
      </c>
      <c r="G93" s="4" t="s">
        <v>30</v>
      </c>
      <c r="H93" s="4" t="s">
        <v>173</v>
      </c>
      <c r="I93" s="4" t="s">
        <v>176</v>
      </c>
      <c r="J93" s="4"/>
      <c r="K93" s="4" t="s">
        <v>474</v>
      </c>
      <c r="L93" s="5" t="str">
        <f>IF(AND($K93&lt;&gt;"",Config!$B$2&lt;&gt;""), Config!$B$2 &amp; "?id=" &amp; $K93, "")</f>
        <v/>
      </c>
      <c r="M93" s="4"/>
      <c r="N93" s="4" t="str">
        <f t="shared" ca="1" si="1"/>
        <v/>
      </c>
      <c r="O93" s="4" t="s">
        <v>205</v>
      </c>
    </row>
    <row r="94" spans="1:15" x14ac:dyDescent="0.2">
      <c r="A94" s="4" t="s">
        <v>454</v>
      </c>
      <c r="B94" s="4" t="s">
        <v>231</v>
      </c>
      <c r="C94" s="4" t="s">
        <v>86</v>
      </c>
      <c r="D94" s="4" t="s">
        <v>30</v>
      </c>
      <c r="E94" s="4" t="s">
        <v>232</v>
      </c>
      <c r="F94" s="4" t="s">
        <v>30</v>
      </c>
      <c r="G94" s="4" t="s">
        <v>30</v>
      </c>
      <c r="H94" s="4" t="s">
        <v>76</v>
      </c>
      <c r="I94" s="4" t="s">
        <v>96</v>
      </c>
      <c r="J94" s="4"/>
      <c r="K94" s="4" t="s">
        <v>474</v>
      </c>
      <c r="L94" s="5" t="str">
        <f>IF(AND($K94&lt;&gt;"",Config!$B$2&lt;&gt;""), Config!$B$2 &amp; "?id=" &amp; $K94, "")</f>
        <v/>
      </c>
      <c r="M94" s="4"/>
      <c r="N94" s="4" t="str">
        <f t="shared" ca="1" si="1"/>
        <v/>
      </c>
      <c r="O94" s="4" t="s">
        <v>205</v>
      </c>
    </row>
    <row r="95" spans="1:15" x14ac:dyDescent="0.2">
      <c r="A95" s="4" t="s">
        <v>454</v>
      </c>
      <c r="B95" s="4" t="s">
        <v>233</v>
      </c>
      <c r="C95" s="4" t="s">
        <v>46</v>
      </c>
      <c r="D95" s="4" t="s">
        <v>30</v>
      </c>
      <c r="E95" s="4" t="s">
        <v>232</v>
      </c>
      <c r="F95" s="4" t="s">
        <v>30</v>
      </c>
      <c r="G95" s="4" t="s">
        <v>30</v>
      </c>
      <c r="H95" s="4" t="s">
        <v>76</v>
      </c>
      <c r="I95" s="4" t="s">
        <v>96</v>
      </c>
      <c r="J95" s="4"/>
      <c r="K95" s="4" t="s">
        <v>474</v>
      </c>
      <c r="L95" s="5" t="str">
        <f>IF(AND($K95&lt;&gt;"",Config!$B$2&lt;&gt;""), Config!$B$2 &amp; "?id=" &amp; $K95, "")</f>
        <v/>
      </c>
      <c r="M95" s="4"/>
      <c r="N95" s="4" t="str">
        <f t="shared" ca="1" si="1"/>
        <v/>
      </c>
      <c r="O95" s="4" t="s">
        <v>205</v>
      </c>
    </row>
    <row r="96" spans="1:15" x14ac:dyDescent="0.2">
      <c r="A96" s="4" t="s">
        <v>454</v>
      </c>
      <c r="B96" s="4" t="s">
        <v>234</v>
      </c>
      <c r="C96" s="4" t="s">
        <v>46</v>
      </c>
      <c r="D96" s="4" t="s">
        <v>143</v>
      </c>
      <c r="E96" s="4" t="s">
        <v>31</v>
      </c>
      <c r="F96" s="4" t="s">
        <v>203</v>
      </c>
      <c r="G96" s="4" t="s">
        <v>235</v>
      </c>
      <c r="H96" s="4" t="s">
        <v>76</v>
      </c>
      <c r="I96" s="4" t="s">
        <v>236</v>
      </c>
      <c r="J96" s="4"/>
      <c r="K96" s="4" t="s">
        <v>474</v>
      </c>
      <c r="L96" s="5" t="str">
        <f>IF(AND($K96&lt;&gt;"",Config!$B$2&lt;&gt;""), Config!$B$2 &amp; "?id=" &amp; $K96, "")</f>
        <v/>
      </c>
      <c r="M96" s="4"/>
      <c r="N96" s="4" t="str">
        <f t="shared" ca="1" si="1"/>
        <v/>
      </c>
      <c r="O96" s="4" t="s">
        <v>205</v>
      </c>
    </row>
    <row r="97" spans="1:15" x14ac:dyDescent="0.2">
      <c r="A97" s="4" t="s">
        <v>454</v>
      </c>
      <c r="B97" s="4" t="s">
        <v>237</v>
      </c>
      <c r="C97" s="4" t="s">
        <v>180</v>
      </c>
      <c r="D97" s="4" t="s">
        <v>220</v>
      </c>
      <c r="E97" s="4" t="s">
        <v>37</v>
      </c>
      <c r="F97" s="4" t="s">
        <v>37</v>
      </c>
      <c r="G97" s="4" t="s">
        <v>37</v>
      </c>
      <c r="H97" s="4" t="s">
        <v>37</v>
      </c>
      <c r="I97" s="4" t="s">
        <v>37</v>
      </c>
      <c r="J97" s="4"/>
      <c r="K97" s="4" t="s">
        <v>474</v>
      </c>
      <c r="L97" s="5" t="str">
        <f>IF(AND($K97&lt;&gt;"",Config!$B$2&lt;&gt;""), Config!$B$2 &amp; "?id=" &amp; $K97, "")</f>
        <v/>
      </c>
      <c r="M97" s="4"/>
      <c r="N97" s="4" t="str">
        <f t="shared" ca="1" si="1"/>
        <v/>
      </c>
      <c r="O97" s="4" t="s">
        <v>205</v>
      </c>
    </row>
    <row r="98" spans="1:15" x14ac:dyDescent="0.2">
      <c r="A98" s="4" t="s">
        <v>454</v>
      </c>
      <c r="B98" s="4" t="s">
        <v>238</v>
      </c>
      <c r="C98" s="4" t="s">
        <v>92</v>
      </c>
      <c r="D98" s="4" t="s">
        <v>30</v>
      </c>
      <c r="E98" s="4" t="s">
        <v>239</v>
      </c>
      <c r="F98" s="4" t="s">
        <v>30</v>
      </c>
      <c r="G98" s="4" t="s">
        <v>30</v>
      </c>
      <c r="H98" s="4" t="s">
        <v>33</v>
      </c>
      <c r="I98" s="4" t="s">
        <v>240</v>
      </c>
      <c r="J98" s="4"/>
      <c r="K98" s="4" t="s">
        <v>474</v>
      </c>
      <c r="L98" s="5" t="str">
        <f>IF(AND($K98&lt;&gt;"",Config!$B$2&lt;&gt;""), Config!$B$2 &amp; "?id=" &amp; $K98, "")</f>
        <v/>
      </c>
      <c r="M98" s="4"/>
      <c r="N98" s="4" t="str">
        <f t="shared" ca="1" si="1"/>
        <v/>
      </c>
      <c r="O98" s="4" t="s">
        <v>205</v>
      </c>
    </row>
    <row r="99" spans="1:15" x14ac:dyDescent="0.2">
      <c r="A99" s="4" t="s">
        <v>454</v>
      </c>
      <c r="B99" s="4" t="s">
        <v>241</v>
      </c>
      <c r="C99" s="4" t="s">
        <v>126</v>
      </c>
      <c r="D99" s="4" t="s">
        <v>114</v>
      </c>
      <c r="E99" s="4" t="s">
        <v>115</v>
      </c>
      <c r="F99" s="4" t="s">
        <v>115</v>
      </c>
      <c r="G99" s="4" t="s">
        <v>115</v>
      </c>
      <c r="H99" s="4" t="s">
        <v>76</v>
      </c>
      <c r="I99" s="4" t="s">
        <v>242</v>
      </c>
      <c r="J99" s="4"/>
      <c r="K99" s="4" t="s">
        <v>473</v>
      </c>
      <c r="L99" s="5" t="str">
        <f>IF(AND($K99&lt;&gt;"",Config!$B$2&lt;&gt;""), Config!$B$2 &amp; "?id=" &amp; $K99, "")</f>
        <v/>
      </c>
      <c r="M99" s="4"/>
      <c r="N99" s="4" t="str">
        <f t="shared" ca="1" si="1"/>
        <v/>
      </c>
      <c r="O99" s="4" t="s">
        <v>243</v>
      </c>
    </row>
    <row r="100" spans="1:15" x14ac:dyDescent="0.2">
      <c r="A100" s="4" t="s">
        <v>454</v>
      </c>
      <c r="B100" s="4" t="s">
        <v>244</v>
      </c>
      <c r="C100" s="4" t="s">
        <v>46</v>
      </c>
      <c r="D100" s="4" t="s">
        <v>114</v>
      </c>
      <c r="E100" s="4" t="s">
        <v>115</v>
      </c>
      <c r="F100" s="4" t="s">
        <v>115</v>
      </c>
      <c r="G100" s="4" t="s">
        <v>115</v>
      </c>
      <c r="H100" s="4" t="s">
        <v>76</v>
      </c>
      <c r="I100" s="4" t="s">
        <v>174</v>
      </c>
      <c r="J100" s="4"/>
      <c r="K100" s="4" t="s">
        <v>472</v>
      </c>
      <c r="L100" s="5" t="str">
        <f>IF(AND($K100&lt;&gt;"",Config!$B$2&lt;&gt;""), Config!$B$2 &amp; "?id=" &amp; $K100, "")</f>
        <v/>
      </c>
      <c r="M100" s="4"/>
      <c r="N100" s="4" t="str">
        <f t="shared" ca="1" si="1"/>
        <v/>
      </c>
      <c r="O100" s="4" t="s">
        <v>245</v>
      </c>
    </row>
    <row r="101" spans="1:15" x14ac:dyDescent="0.2">
      <c r="A101" s="4" t="s">
        <v>454</v>
      </c>
      <c r="B101" s="4" t="s">
        <v>121</v>
      </c>
      <c r="C101" s="4" t="s">
        <v>121</v>
      </c>
      <c r="D101" s="4" t="s">
        <v>114</v>
      </c>
      <c r="E101" s="4" t="s">
        <v>115</v>
      </c>
      <c r="F101" s="4" t="s">
        <v>115</v>
      </c>
      <c r="G101" s="4" t="s">
        <v>115</v>
      </c>
      <c r="H101" s="4" t="s">
        <v>76</v>
      </c>
      <c r="I101" s="4" t="s">
        <v>246</v>
      </c>
      <c r="J101" s="4"/>
      <c r="K101" s="4" t="s">
        <v>472</v>
      </c>
      <c r="L101" s="5" t="str">
        <f>IF(AND($K101&lt;&gt;"",Config!$B$2&lt;&gt;""), Config!$B$2 &amp; "?id=" &amp; $K101, "")</f>
        <v/>
      </c>
      <c r="M101" s="4"/>
      <c r="N101" s="4" t="str">
        <f t="shared" ca="1" si="1"/>
        <v/>
      </c>
      <c r="O101" s="4" t="s">
        <v>245</v>
      </c>
    </row>
    <row r="102" spans="1:15" x14ac:dyDescent="0.2">
      <c r="A102" s="4" t="s">
        <v>454</v>
      </c>
      <c r="B102" s="4" t="s">
        <v>247</v>
      </c>
      <c r="C102" s="4" t="s">
        <v>126</v>
      </c>
      <c r="D102" s="4" t="s">
        <v>114</v>
      </c>
      <c r="E102" s="4" t="s">
        <v>115</v>
      </c>
      <c r="F102" s="4" t="s">
        <v>115</v>
      </c>
      <c r="G102" s="4" t="s">
        <v>115</v>
      </c>
      <c r="H102" s="4" t="s">
        <v>76</v>
      </c>
      <c r="I102" s="4" t="s">
        <v>248</v>
      </c>
      <c r="J102" s="4"/>
      <c r="K102" s="4" t="s">
        <v>471</v>
      </c>
      <c r="L102" s="5" t="str">
        <f>IF(AND($K102&lt;&gt;"",Config!$B$2&lt;&gt;""), Config!$B$2 &amp; "?id=" &amp; $K102, "")</f>
        <v/>
      </c>
      <c r="M102" s="4"/>
      <c r="N102" s="4" t="str">
        <f t="shared" ca="1" si="1"/>
        <v/>
      </c>
      <c r="O102" s="4" t="s">
        <v>249</v>
      </c>
    </row>
    <row r="103" spans="1:15" x14ac:dyDescent="0.2">
      <c r="A103" s="4" t="s">
        <v>454</v>
      </c>
      <c r="B103" s="4" t="s">
        <v>250</v>
      </c>
      <c r="C103" s="4" t="s">
        <v>126</v>
      </c>
      <c r="D103" s="4" t="s">
        <v>114</v>
      </c>
      <c r="E103" s="4" t="s">
        <v>115</v>
      </c>
      <c r="F103" s="4" t="s">
        <v>115</v>
      </c>
      <c r="G103" s="4" t="s">
        <v>115</v>
      </c>
      <c r="H103" s="4" t="s">
        <v>76</v>
      </c>
      <c r="I103" s="4" t="s">
        <v>251</v>
      </c>
      <c r="J103" s="4"/>
      <c r="K103" s="4" t="s">
        <v>471</v>
      </c>
      <c r="L103" s="5" t="str">
        <f>IF(AND($K103&lt;&gt;"",Config!$B$2&lt;&gt;""), Config!$B$2 &amp; "?id=" &amp; $K103, "")</f>
        <v/>
      </c>
      <c r="M103" s="4"/>
      <c r="N103" s="4" t="str">
        <f t="shared" ca="1" si="1"/>
        <v/>
      </c>
      <c r="O103" s="4" t="s">
        <v>249</v>
      </c>
    </row>
    <row r="104" spans="1:15" x14ac:dyDescent="0.2">
      <c r="A104" s="4" t="s">
        <v>454</v>
      </c>
      <c r="B104" s="4" t="s">
        <v>252</v>
      </c>
      <c r="C104" s="4" t="s">
        <v>253</v>
      </c>
      <c r="D104" s="4" t="s">
        <v>114</v>
      </c>
      <c r="E104" s="4" t="s">
        <v>115</v>
      </c>
      <c r="F104" s="4" t="s">
        <v>115</v>
      </c>
      <c r="G104" s="4" t="s">
        <v>115</v>
      </c>
      <c r="H104" s="4" t="s">
        <v>33</v>
      </c>
      <c r="I104" s="4" t="s">
        <v>254</v>
      </c>
      <c r="J104" s="4"/>
      <c r="K104" s="4" t="s">
        <v>470</v>
      </c>
      <c r="L104" s="5" t="str">
        <f>IF(AND($K104&lt;&gt;"",Config!$B$2&lt;&gt;""), Config!$B$2 &amp; "?id=" &amp; $K104, "")</f>
        <v/>
      </c>
      <c r="M104" s="4"/>
      <c r="N104" s="4" t="str">
        <f t="shared" ca="1" si="1"/>
        <v/>
      </c>
      <c r="O104" s="4" t="s">
        <v>255</v>
      </c>
    </row>
    <row r="105" spans="1:15" x14ac:dyDescent="0.2">
      <c r="A105" s="4" t="s">
        <v>454</v>
      </c>
      <c r="B105" s="4" t="s">
        <v>256</v>
      </c>
      <c r="C105" s="4" t="s">
        <v>42</v>
      </c>
      <c r="D105" s="4" t="s">
        <v>114</v>
      </c>
      <c r="E105" s="4" t="s">
        <v>115</v>
      </c>
      <c r="F105" s="4" t="s">
        <v>115</v>
      </c>
      <c r="G105" s="4" t="s">
        <v>115</v>
      </c>
      <c r="H105" s="4" t="s">
        <v>33</v>
      </c>
      <c r="I105" s="4" t="s">
        <v>254</v>
      </c>
      <c r="J105" s="4"/>
      <c r="K105" s="4" t="s">
        <v>470</v>
      </c>
      <c r="L105" s="5" t="str">
        <f>IF(AND($K105&lt;&gt;"",Config!$B$2&lt;&gt;""), Config!$B$2 &amp; "?id=" &amp; $K105, "")</f>
        <v/>
      </c>
      <c r="M105" s="4"/>
      <c r="N105" s="4" t="str">
        <f t="shared" ca="1" si="1"/>
        <v/>
      </c>
      <c r="O105" s="4" t="s">
        <v>255</v>
      </c>
    </row>
    <row r="106" spans="1:15" x14ac:dyDescent="0.2">
      <c r="A106" s="4" t="s">
        <v>454</v>
      </c>
      <c r="B106" s="4" t="s">
        <v>257</v>
      </c>
      <c r="C106" s="4" t="s">
        <v>86</v>
      </c>
      <c r="D106" s="4" t="s">
        <v>114</v>
      </c>
      <c r="E106" s="4" t="s">
        <v>115</v>
      </c>
      <c r="F106" s="4" t="s">
        <v>115</v>
      </c>
      <c r="G106" s="4" t="s">
        <v>115</v>
      </c>
      <c r="H106" s="4" t="s">
        <v>76</v>
      </c>
      <c r="I106" s="4" t="s">
        <v>197</v>
      </c>
      <c r="J106" s="4"/>
      <c r="K106" s="4" t="s">
        <v>470</v>
      </c>
      <c r="L106" s="5" t="str">
        <f>IF(AND($K106&lt;&gt;"",Config!$B$2&lt;&gt;""), Config!$B$2 &amp; "?id=" &amp; $K106, "")</f>
        <v/>
      </c>
      <c r="M106" s="4"/>
      <c r="N106" s="4" t="str">
        <f t="shared" ca="1" si="1"/>
        <v/>
      </c>
      <c r="O106" s="4" t="s">
        <v>255</v>
      </c>
    </row>
    <row r="107" spans="1:15" x14ac:dyDescent="0.2">
      <c r="A107" s="4" t="s">
        <v>454</v>
      </c>
      <c r="B107" s="4" t="s">
        <v>258</v>
      </c>
      <c r="C107" s="4" t="s">
        <v>259</v>
      </c>
      <c r="D107" s="4" t="s">
        <v>114</v>
      </c>
      <c r="E107" s="4" t="s">
        <v>115</v>
      </c>
      <c r="F107" s="4" t="s">
        <v>115</v>
      </c>
      <c r="G107" s="4" t="s">
        <v>115</v>
      </c>
      <c r="H107" s="4" t="s">
        <v>76</v>
      </c>
      <c r="I107" s="4" t="s">
        <v>260</v>
      </c>
      <c r="J107" s="4"/>
      <c r="K107" s="4" t="s">
        <v>470</v>
      </c>
      <c r="L107" s="5" t="str">
        <f>IF(AND($K107&lt;&gt;"",Config!$B$2&lt;&gt;""), Config!$B$2 &amp; "?id=" &amp; $K107, "")</f>
        <v/>
      </c>
      <c r="M107" s="4"/>
      <c r="N107" s="4" t="str">
        <f t="shared" ca="1" si="1"/>
        <v/>
      </c>
      <c r="O107" s="4" t="s">
        <v>255</v>
      </c>
    </row>
    <row r="108" spans="1:15" x14ac:dyDescent="0.2">
      <c r="A108" s="4" t="s">
        <v>454</v>
      </c>
      <c r="B108" s="4" t="s">
        <v>261</v>
      </c>
      <c r="C108" s="4" t="s">
        <v>29</v>
      </c>
      <c r="D108" s="4" t="s">
        <v>114</v>
      </c>
      <c r="E108" s="4" t="s">
        <v>115</v>
      </c>
      <c r="F108" s="4" t="s">
        <v>115</v>
      </c>
      <c r="G108" s="4" t="s">
        <v>115</v>
      </c>
      <c r="H108" s="4" t="s">
        <v>76</v>
      </c>
      <c r="I108" s="4" t="s">
        <v>262</v>
      </c>
      <c r="J108" s="4"/>
      <c r="K108" s="4" t="s">
        <v>470</v>
      </c>
      <c r="L108" s="5" t="str">
        <f>IF(AND($K108&lt;&gt;"",Config!$B$2&lt;&gt;""), Config!$B$2 &amp; "?id=" &amp; $K108, "")</f>
        <v/>
      </c>
      <c r="M108" s="4"/>
      <c r="N108" s="4" t="str">
        <f t="shared" ca="1" si="1"/>
        <v/>
      </c>
      <c r="O108" s="4" t="s">
        <v>255</v>
      </c>
    </row>
    <row r="109" spans="1:15" x14ac:dyDescent="0.2">
      <c r="A109" s="4" t="s">
        <v>454</v>
      </c>
      <c r="B109" s="4" t="s">
        <v>263</v>
      </c>
      <c r="C109" s="4" t="s">
        <v>46</v>
      </c>
      <c r="D109" s="4" t="s">
        <v>114</v>
      </c>
      <c r="E109" s="4" t="s">
        <v>115</v>
      </c>
      <c r="F109" s="4" t="s">
        <v>115</v>
      </c>
      <c r="G109" s="4" t="s">
        <v>115</v>
      </c>
      <c r="H109" s="4" t="s">
        <v>76</v>
      </c>
      <c r="I109" s="4" t="s">
        <v>264</v>
      </c>
      <c r="J109" s="4"/>
      <c r="K109" s="4" t="s">
        <v>470</v>
      </c>
      <c r="L109" s="5" t="str">
        <f>IF(AND($K109&lt;&gt;"",Config!$B$2&lt;&gt;""), Config!$B$2 &amp; "?id=" &amp; $K109, "")</f>
        <v/>
      </c>
      <c r="M109" s="4"/>
      <c r="N109" s="4" t="str">
        <f t="shared" ca="1" si="1"/>
        <v/>
      </c>
      <c r="O109" s="4" t="s">
        <v>255</v>
      </c>
    </row>
    <row r="110" spans="1:15" x14ac:dyDescent="0.2">
      <c r="A110" s="4" t="s">
        <v>454</v>
      </c>
      <c r="B110" s="4" t="s">
        <v>265</v>
      </c>
      <c r="C110" s="4" t="s">
        <v>266</v>
      </c>
      <c r="D110" s="4" t="s">
        <v>30</v>
      </c>
      <c r="E110" s="4" t="s">
        <v>267</v>
      </c>
      <c r="F110" s="4" t="s">
        <v>30</v>
      </c>
      <c r="G110" s="4" t="s">
        <v>30</v>
      </c>
      <c r="H110" s="4" t="s">
        <v>76</v>
      </c>
      <c r="I110" s="4" t="s">
        <v>268</v>
      </c>
      <c r="J110" s="4"/>
      <c r="K110" s="4" t="s">
        <v>469</v>
      </c>
      <c r="L110" s="5" t="str">
        <f>IF(AND($K110&lt;&gt;"",Config!$B$2&lt;&gt;""), Config!$B$2 &amp; "?id=" &amp; $K110, "")</f>
        <v/>
      </c>
      <c r="M110" s="4"/>
      <c r="N110" s="4" t="str">
        <f t="shared" ca="1" si="1"/>
        <v/>
      </c>
      <c r="O110" s="4" t="s">
        <v>269</v>
      </c>
    </row>
    <row r="111" spans="1:15" x14ac:dyDescent="0.2">
      <c r="A111" s="4" t="s">
        <v>454</v>
      </c>
      <c r="B111" s="4" t="s">
        <v>270</v>
      </c>
      <c r="C111" s="4" t="s">
        <v>29</v>
      </c>
      <c r="D111" s="4" t="s">
        <v>30</v>
      </c>
      <c r="E111" s="4" t="s">
        <v>267</v>
      </c>
      <c r="F111" s="4" t="s">
        <v>30</v>
      </c>
      <c r="G111" s="4" t="s">
        <v>30</v>
      </c>
      <c r="H111" s="4" t="s">
        <v>76</v>
      </c>
      <c r="I111" s="4" t="s">
        <v>268</v>
      </c>
      <c r="J111" s="4"/>
      <c r="K111" s="4" t="s">
        <v>469</v>
      </c>
      <c r="L111" s="5" t="str">
        <f>IF(AND($K111&lt;&gt;"",Config!$B$2&lt;&gt;""), Config!$B$2 &amp; "?id=" &amp; $K111, "")</f>
        <v/>
      </c>
      <c r="M111" s="4"/>
      <c r="N111" s="4" t="str">
        <f t="shared" ca="1" si="1"/>
        <v/>
      </c>
      <c r="O111" s="4" t="s">
        <v>269</v>
      </c>
    </row>
    <row r="112" spans="1:15" x14ac:dyDescent="0.2">
      <c r="A112" s="4" t="s">
        <v>454</v>
      </c>
      <c r="B112" s="4" t="s">
        <v>271</v>
      </c>
      <c r="C112" s="4" t="s">
        <v>272</v>
      </c>
      <c r="D112" s="4" t="s">
        <v>30</v>
      </c>
      <c r="E112" s="4" t="s">
        <v>273</v>
      </c>
      <c r="F112" s="4" t="s">
        <v>30</v>
      </c>
      <c r="G112" s="4" t="s">
        <v>30</v>
      </c>
      <c r="H112" s="4" t="s">
        <v>62</v>
      </c>
      <c r="I112" s="4" t="s">
        <v>274</v>
      </c>
      <c r="J112" s="4"/>
      <c r="K112" s="4" t="s">
        <v>469</v>
      </c>
      <c r="L112" s="5" t="str">
        <f>IF(AND($K112&lt;&gt;"",Config!$B$2&lt;&gt;""), Config!$B$2 &amp; "?id=" &amp; $K112, "")</f>
        <v/>
      </c>
      <c r="M112" s="4"/>
      <c r="N112" s="4" t="str">
        <f t="shared" ca="1" si="1"/>
        <v/>
      </c>
      <c r="O112" s="4" t="s">
        <v>269</v>
      </c>
    </row>
    <row r="113" spans="1:15" x14ac:dyDescent="0.2">
      <c r="A113" s="4" t="s">
        <v>454</v>
      </c>
      <c r="B113" s="4" t="s">
        <v>275</v>
      </c>
      <c r="C113" s="4" t="s">
        <v>92</v>
      </c>
      <c r="D113" s="4" t="s">
        <v>30</v>
      </c>
      <c r="E113" s="4" t="s">
        <v>72</v>
      </c>
      <c r="F113" s="4" t="s">
        <v>30</v>
      </c>
      <c r="G113" s="4" t="s">
        <v>30</v>
      </c>
      <c r="H113" s="4" t="s">
        <v>76</v>
      </c>
      <c r="I113" s="4" t="s">
        <v>276</v>
      </c>
      <c r="J113" s="4"/>
      <c r="K113" s="4" t="s">
        <v>468</v>
      </c>
      <c r="L113" s="5" t="str">
        <f>IF(AND($K113&lt;&gt;"",Config!$B$2&lt;&gt;""), Config!$B$2 &amp; "?id=" &amp; $K113, "")</f>
        <v/>
      </c>
      <c r="M113" s="4"/>
      <c r="N113" s="4" t="str">
        <f t="shared" ca="1" si="1"/>
        <v/>
      </c>
      <c r="O113" s="4" t="s">
        <v>277</v>
      </c>
    </row>
    <row r="114" spans="1:15" x14ac:dyDescent="0.2">
      <c r="A114" s="4" t="s">
        <v>454</v>
      </c>
      <c r="B114" s="4" t="s">
        <v>278</v>
      </c>
      <c r="C114" s="4" t="s">
        <v>92</v>
      </c>
      <c r="D114" s="4" t="s">
        <v>30</v>
      </c>
      <c r="E114" s="4" t="s">
        <v>172</v>
      </c>
      <c r="F114" s="4" t="s">
        <v>30</v>
      </c>
      <c r="G114" s="4" t="s">
        <v>30</v>
      </c>
      <c r="H114" s="4" t="s">
        <v>173</v>
      </c>
      <c r="I114" s="4" t="s">
        <v>174</v>
      </c>
      <c r="J114" s="4"/>
      <c r="K114" s="4" t="s">
        <v>468</v>
      </c>
      <c r="L114" s="5" t="str">
        <f>IF(AND($K114&lt;&gt;"",Config!$B$2&lt;&gt;""), Config!$B$2 &amp; "?id=" &amp; $K114, "")</f>
        <v/>
      </c>
      <c r="M114" s="4"/>
      <c r="N114" s="4" t="str">
        <f t="shared" ca="1" si="1"/>
        <v/>
      </c>
      <c r="O114" s="4" t="s">
        <v>277</v>
      </c>
    </row>
    <row r="115" spans="1:15" x14ac:dyDescent="0.2">
      <c r="A115" s="4" t="s">
        <v>454</v>
      </c>
      <c r="B115" s="4" t="s">
        <v>279</v>
      </c>
      <c r="C115" s="4" t="s">
        <v>92</v>
      </c>
      <c r="D115" s="4" t="s">
        <v>30</v>
      </c>
      <c r="E115" s="4" t="s">
        <v>239</v>
      </c>
      <c r="F115" s="4" t="s">
        <v>30</v>
      </c>
      <c r="G115" s="4" t="s">
        <v>30</v>
      </c>
      <c r="H115" s="4" t="s">
        <v>33</v>
      </c>
      <c r="I115" s="4" t="s">
        <v>280</v>
      </c>
      <c r="J115" s="4"/>
      <c r="K115" s="4" t="s">
        <v>468</v>
      </c>
      <c r="L115" s="5" t="str">
        <f>IF(AND($K115&lt;&gt;"",Config!$B$2&lt;&gt;""), Config!$B$2 &amp; "?id=" &amp; $K115, "")</f>
        <v/>
      </c>
      <c r="M115" s="4"/>
      <c r="N115" s="4" t="str">
        <f t="shared" ca="1" si="1"/>
        <v/>
      </c>
      <c r="O115" s="4" t="s">
        <v>277</v>
      </c>
    </row>
    <row r="116" spans="1:15" x14ac:dyDescent="0.2">
      <c r="A116" s="4" t="s">
        <v>454</v>
      </c>
      <c r="B116" s="4" t="s">
        <v>281</v>
      </c>
      <c r="C116" s="4" t="s">
        <v>92</v>
      </c>
      <c r="D116" s="4" t="s">
        <v>30</v>
      </c>
      <c r="E116" s="4" t="s">
        <v>159</v>
      </c>
      <c r="F116" s="4" t="s">
        <v>30</v>
      </c>
      <c r="G116" s="4" t="s">
        <v>30</v>
      </c>
      <c r="H116" s="4" t="s">
        <v>33</v>
      </c>
      <c r="I116" s="4" t="s">
        <v>229</v>
      </c>
      <c r="J116" s="4"/>
      <c r="K116" s="4" t="s">
        <v>468</v>
      </c>
      <c r="L116" s="5" t="str">
        <f>IF(AND($K116&lt;&gt;"",Config!$B$2&lt;&gt;""), Config!$B$2 &amp; "?id=" &amp; $K116, "")</f>
        <v/>
      </c>
      <c r="M116" s="4"/>
      <c r="N116" s="4" t="str">
        <f t="shared" ca="1" si="1"/>
        <v/>
      </c>
      <c r="O116" s="4" t="s">
        <v>277</v>
      </c>
    </row>
    <row r="117" spans="1:15" x14ac:dyDescent="0.2">
      <c r="A117" s="4" t="s">
        <v>454</v>
      </c>
      <c r="B117" s="4" t="s">
        <v>282</v>
      </c>
      <c r="C117" s="4" t="s">
        <v>180</v>
      </c>
      <c r="D117" s="4" t="s">
        <v>30</v>
      </c>
      <c r="E117" s="4" t="s">
        <v>37</v>
      </c>
      <c r="F117" s="4" t="s">
        <v>37</v>
      </c>
      <c r="G117" s="4" t="s">
        <v>37</v>
      </c>
      <c r="H117" s="4" t="s">
        <v>37</v>
      </c>
      <c r="I117" s="4" t="s">
        <v>37</v>
      </c>
      <c r="J117" s="4"/>
      <c r="K117" s="4" t="s">
        <v>468</v>
      </c>
      <c r="L117" s="5" t="str">
        <f>IF(AND($K117&lt;&gt;"",Config!$B$2&lt;&gt;""), Config!$B$2 &amp; "?id=" &amp; $K117, "")</f>
        <v/>
      </c>
      <c r="M117" s="4"/>
      <c r="N117" s="4" t="str">
        <f t="shared" ca="1" si="1"/>
        <v/>
      </c>
      <c r="O117" s="4" t="s">
        <v>277</v>
      </c>
    </row>
    <row r="118" spans="1:15" x14ac:dyDescent="0.2">
      <c r="A118" s="4" t="s">
        <v>454</v>
      </c>
      <c r="B118" s="4" t="s">
        <v>283</v>
      </c>
      <c r="C118" s="4" t="s">
        <v>46</v>
      </c>
      <c r="D118" s="4" t="s">
        <v>30</v>
      </c>
      <c r="E118" s="4" t="s">
        <v>172</v>
      </c>
      <c r="F118" s="4" t="s">
        <v>30</v>
      </c>
      <c r="G118" s="4" t="s">
        <v>30</v>
      </c>
      <c r="H118" s="4" t="s">
        <v>173</v>
      </c>
      <c r="I118" s="4" t="s">
        <v>176</v>
      </c>
      <c r="J118" s="4"/>
      <c r="K118" s="4" t="s">
        <v>467</v>
      </c>
      <c r="L118" s="5" t="str">
        <f>IF(AND($K118&lt;&gt;"",Config!$B$2&lt;&gt;""), Config!$B$2 &amp; "?id=" &amp; $K118, "")</f>
        <v/>
      </c>
      <c r="M118" s="4"/>
      <c r="N118" s="4" t="str">
        <f t="shared" ca="1" si="1"/>
        <v/>
      </c>
      <c r="O118" s="4" t="s">
        <v>284</v>
      </c>
    </row>
    <row r="119" spans="1:15" x14ac:dyDescent="0.2">
      <c r="A119" s="4" t="s">
        <v>454</v>
      </c>
      <c r="B119" s="4" t="s">
        <v>285</v>
      </c>
      <c r="C119" s="4" t="s">
        <v>46</v>
      </c>
      <c r="D119" s="4" t="s">
        <v>30</v>
      </c>
      <c r="E119" s="4" t="s">
        <v>286</v>
      </c>
      <c r="F119" s="4" t="s">
        <v>30</v>
      </c>
      <c r="G119" s="4" t="s">
        <v>30</v>
      </c>
      <c r="H119" s="4" t="s">
        <v>62</v>
      </c>
      <c r="I119" s="4" t="s">
        <v>287</v>
      </c>
      <c r="J119" s="4"/>
      <c r="K119" s="4" t="s">
        <v>467</v>
      </c>
      <c r="L119" s="5" t="str">
        <f>IF(AND($K119&lt;&gt;"",Config!$B$2&lt;&gt;""), Config!$B$2 &amp; "?id=" &amp; $K119, "")</f>
        <v/>
      </c>
      <c r="M119" s="4"/>
      <c r="N119" s="4" t="str">
        <f t="shared" ca="1" si="1"/>
        <v/>
      </c>
      <c r="O119" s="4" t="s">
        <v>284</v>
      </c>
    </row>
    <row r="120" spans="1:15" x14ac:dyDescent="0.2">
      <c r="A120" s="4" t="s">
        <v>454</v>
      </c>
      <c r="B120" s="4" t="s">
        <v>288</v>
      </c>
      <c r="C120" s="4" t="s">
        <v>180</v>
      </c>
      <c r="D120" s="4" t="s">
        <v>30</v>
      </c>
      <c r="E120" s="4" t="s">
        <v>37</v>
      </c>
      <c r="F120" s="4" t="s">
        <v>37</v>
      </c>
      <c r="G120" s="4" t="s">
        <v>37</v>
      </c>
      <c r="H120" s="4" t="s">
        <v>37</v>
      </c>
      <c r="I120" s="4" t="s">
        <v>37</v>
      </c>
      <c r="J120" s="4"/>
      <c r="K120" s="4" t="s">
        <v>467</v>
      </c>
      <c r="L120" s="5" t="str">
        <f>IF(AND($K120&lt;&gt;"",Config!$B$2&lt;&gt;""), Config!$B$2 &amp; "?id=" &amp; $K120, "")</f>
        <v/>
      </c>
      <c r="M120" s="4"/>
      <c r="N120" s="4" t="str">
        <f t="shared" ca="1" si="1"/>
        <v/>
      </c>
      <c r="O120" s="4" t="s">
        <v>284</v>
      </c>
    </row>
    <row r="121" spans="1:15" x14ac:dyDescent="0.2">
      <c r="A121" s="4" t="s">
        <v>454</v>
      </c>
      <c r="B121" s="4" t="s">
        <v>289</v>
      </c>
      <c r="C121" s="4" t="s">
        <v>29</v>
      </c>
      <c r="D121" s="4" t="s">
        <v>30</v>
      </c>
      <c r="E121" s="4" t="s">
        <v>290</v>
      </c>
      <c r="F121" s="4" t="s">
        <v>30</v>
      </c>
      <c r="G121" s="4" t="s">
        <v>30</v>
      </c>
      <c r="H121" s="4" t="s">
        <v>76</v>
      </c>
      <c r="I121" s="4" t="s">
        <v>197</v>
      </c>
      <c r="J121" s="4"/>
      <c r="K121" s="4" t="s">
        <v>467</v>
      </c>
      <c r="L121" s="5" t="str">
        <f>IF(AND($K121&lt;&gt;"",Config!$B$2&lt;&gt;""), Config!$B$2 &amp; "?id=" &amp; $K121, "")</f>
        <v/>
      </c>
      <c r="M121" s="4"/>
      <c r="N121" s="4" t="str">
        <f t="shared" ca="1" si="1"/>
        <v/>
      </c>
      <c r="O121" s="4" t="s">
        <v>284</v>
      </c>
    </row>
    <row r="122" spans="1:15" x14ac:dyDescent="0.2">
      <c r="A122" s="4" t="s">
        <v>454</v>
      </c>
      <c r="B122" s="4" t="s">
        <v>291</v>
      </c>
      <c r="C122" s="4" t="s">
        <v>29</v>
      </c>
      <c r="D122" s="4" t="s">
        <v>30</v>
      </c>
      <c r="E122" s="4" t="s">
        <v>290</v>
      </c>
      <c r="F122" s="4" t="s">
        <v>30</v>
      </c>
      <c r="G122" s="4" t="s">
        <v>30</v>
      </c>
      <c r="H122" s="4" t="s">
        <v>62</v>
      </c>
      <c r="I122" s="4" t="s">
        <v>73</v>
      </c>
      <c r="J122" s="4"/>
      <c r="K122" s="4" t="s">
        <v>467</v>
      </c>
      <c r="L122" s="5" t="str">
        <f>IF(AND($K122&lt;&gt;"",Config!$B$2&lt;&gt;""), Config!$B$2 &amp; "?id=" &amp; $K122, "")</f>
        <v/>
      </c>
      <c r="M122" s="4"/>
      <c r="N122" s="4" t="str">
        <f t="shared" ca="1" si="1"/>
        <v/>
      </c>
      <c r="O122" s="4" t="s">
        <v>284</v>
      </c>
    </row>
    <row r="123" spans="1:15" x14ac:dyDescent="0.2">
      <c r="A123" s="4" t="s">
        <v>454</v>
      </c>
      <c r="B123" s="4" t="s">
        <v>292</v>
      </c>
      <c r="C123" s="4" t="s">
        <v>293</v>
      </c>
      <c r="D123" s="4" t="s">
        <v>30</v>
      </c>
      <c r="E123" s="4" t="s">
        <v>294</v>
      </c>
      <c r="F123" s="4" t="s">
        <v>30</v>
      </c>
      <c r="G123" s="4" t="s">
        <v>30</v>
      </c>
      <c r="H123" s="4" t="s">
        <v>62</v>
      </c>
      <c r="I123" s="4" t="s">
        <v>295</v>
      </c>
      <c r="J123" s="4"/>
      <c r="K123" s="4" t="s">
        <v>467</v>
      </c>
      <c r="L123" s="5" t="str">
        <f>IF(AND($K123&lt;&gt;"",Config!$B$2&lt;&gt;""), Config!$B$2 &amp; "?id=" &amp; $K123, "")</f>
        <v/>
      </c>
      <c r="M123" s="4"/>
      <c r="N123" s="4" t="str">
        <f t="shared" ca="1" si="1"/>
        <v/>
      </c>
      <c r="O123" s="4" t="s">
        <v>284</v>
      </c>
    </row>
    <row r="124" spans="1:15" x14ac:dyDescent="0.2">
      <c r="A124" s="4" t="s">
        <v>454</v>
      </c>
      <c r="B124" s="4" t="s">
        <v>296</v>
      </c>
      <c r="C124" s="4" t="s">
        <v>297</v>
      </c>
      <c r="D124" s="4" t="s">
        <v>30</v>
      </c>
      <c r="E124" s="4" t="s">
        <v>294</v>
      </c>
      <c r="F124" s="4" t="s">
        <v>30</v>
      </c>
      <c r="G124" s="4" t="s">
        <v>30</v>
      </c>
      <c r="H124" s="4" t="s">
        <v>62</v>
      </c>
      <c r="I124" s="4" t="s">
        <v>103</v>
      </c>
      <c r="J124" s="4"/>
      <c r="K124" s="4" t="s">
        <v>467</v>
      </c>
      <c r="L124" s="5" t="str">
        <f>IF(AND($K124&lt;&gt;"",Config!$B$2&lt;&gt;""), Config!$B$2 &amp; "?id=" &amp; $K124, "")</f>
        <v/>
      </c>
      <c r="M124" s="4"/>
      <c r="N124" s="4" t="str">
        <f t="shared" ca="1" si="1"/>
        <v/>
      </c>
      <c r="O124" s="4" t="s">
        <v>284</v>
      </c>
    </row>
    <row r="125" spans="1:15" x14ac:dyDescent="0.2">
      <c r="A125" s="4" t="s">
        <v>454</v>
      </c>
      <c r="B125" s="4" t="s">
        <v>298</v>
      </c>
      <c r="C125" s="4" t="s">
        <v>71</v>
      </c>
      <c r="D125" s="4" t="s">
        <v>30</v>
      </c>
      <c r="E125" s="4" t="s">
        <v>137</v>
      </c>
      <c r="F125" s="4" t="s">
        <v>30</v>
      </c>
      <c r="G125" s="4" t="s">
        <v>30</v>
      </c>
      <c r="H125" s="4" t="s">
        <v>33</v>
      </c>
      <c r="I125" s="4" t="s">
        <v>299</v>
      </c>
      <c r="J125" s="4"/>
      <c r="K125" s="4" t="s">
        <v>467</v>
      </c>
      <c r="L125" s="5" t="str">
        <f>IF(AND($K125&lt;&gt;"",Config!$B$2&lt;&gt;""), Config!$B$2 &amp; "?id=" &amp; $K125, "")</f>
        <v/>
      </c>
      <c r="M125" s="4"/>
      <c r="N125" s="4" t="str">
        <f t="shared" ca="1" si="1"/>
        <v/>
      </c>
      <c r="O125" s="4" t="s">
        <v>284</v>
      </c>
    </row>
    <row r="126" spans="1:15" x14ac:dyDescent="0.2">
      <c r="A126" s="4" t="s">
        <v>454</v>
      </c>
      <c r="B126" s="4" t="s">
        <v>300</v>
      </c>
      <c r="C126" s="4" t="s">
        <v>71</v>
      </c>
      <c r="D126" s="4" t="s">
        <v>30</v>
      </c>
      <c r="E126" s="4" t="s">
        <v>137</v>
      </c>
      <c r="F126" s="4" t="s">
        <v>30</v>
      </c>
      <c r="G126" s="4" t="s">
        <v>30</v>
      </c>
      <c r="H126" s="4" t="s">
        <v>33</v>
      </c>
      <c r="I126" s="4" t="s">
        <v>299</v>
      </c>
      <c r="J126" s="4"/>
      <c r="K126" s="4" t="s">
        <v>467</v>
      </c>
      <c r="L126" s="5" t="str">
        <f>IF(AND($K126&lt;&gt;"",Config!$B$2&lt;&gt;""), Config!$B$2 &amp; "?id=" &amp; $K126, "")</f>
        <v/>
      </c>
      <c r="M126" s="4"/>
      <c r="N126" s="4" t="str">
        <f t="shared" ca="1" si="1"/>
        <v/>
      </c>
      <c r="O126" s="4" t="s">
        <v>284</v>
      </c>
    </row>
    <row r="127" spans="1:15" x14ac:dyDescent="0.2">
      <c r="A127" s="4" t="s">
        <v>454</v>
      </c>
      <c r="B127" s="4" t="s">
        <v>301</v>
      </c>
      <c r="C127" s="4" t="s">
        <v>86</v>
      </c>
      <c r="D127" s="4" t="s">
        <v>30</v>
      </c>
      <c r="E127" s="4" t="s">
        <v>137</v>
      </c>
      <c r="F127" s="4" t="s">
        <v>30</v>
      </c>
      <c r="G127" s="4" t="s">
        <v>30</v>
      </c>
      <c r="H127" s="4" t="s">
        <v>33</v>
      </c>
      <c r="I127" s="4" t="s">
        <v>302</v>
      </c>
      <c r="J127" s="4"/>
      <c r="K127" s="4" t="s">
        <v>467</v>
      </c>
      <c r="L127" s="5" t="str">
        <f>IF(AND($K127&lt;&gt;"",Config!$B$2&lt;&gt;""), Config!$B$2 &amp; "?id=" &amp; $K127, "")</f>
        <v/>
      </c>
      <c r="M127" s="4"/>
      <c r="N127" s="4" t="str">
        <f t="shared" ca="1" si="1"/>
        <v/>
      </c>
      <c r="O127" s="4" t="s">
        <v>284</v>
      </c>
    </row>
    <row r="128" spans="1:15" x14ac:dyDescent="0.2">
      <c r="A128" s="4" t="s">
        <v>454</v>
      </c>
      <c r="B128" s="4" t="s">
        <v>303</v>
      </c>
      <c r="C128" s="4" t="s">
        <v>42</v>
      </c>
      <c r="D128" s="4" t="s">
        <v>30</v>
      </c>
      <c r="E128" s="4" t="s">
        <v>137</v>
      </c>
      <c r="F128" s="4" t="s">
        <v>30</v>
      </c>
      <c r="G128" s="4" t="s">
        <v>30</v>
      </c>
      <c r="H128" s="4" t="s">
        <v>33</v>
      </c>
      <c r="I128" s="4" t="s">
        <v>304</v>
      </c>
      <c r="J128" s="4"/>
      <c r="K128" s="4" t="s">
        <v>467</v>
      </c>
      <c r="L128" s="5" t="str">
        <f>IF(AND($K128&lt;&gt;"",Config!$B$2&lt;&gt;""), Config!$B$2 &amp; "?id=" &amp; $K128, "")</f>
        <v/>
      </c>
      <c r="M128" s="4"/>
      <c r="N128" s="4" t="str">
        <f t="shared" ca="1" si="1"/>
        <v/>
      </c>
      <c r="O128" s="4" t="s">
        <v>284</v>
      </c>
    </row>
    <row r="129" spans="1:15" x14ac:dyDescent="0.2">
      <c r="A129" s="4" t="s">
        <v>454</v>
      </c>
      <c r="B129" s="4" t="s">
        <v>305</v>
      </c>
      <c r="C129" s="4" t="s">
        <v>71</v>
      </c>
      <c r="D129" s="4" t="s">
        <v>30</v>
      </c>
      <c r="E129" s="4" t="s">
        <v>290</v>
      </c>
      <c r="F129" s="4" t="s">
        <v>30</v>
      </c>
      <c r="G129" s="4" t="s">
        <v>30</v>
      </c>
      <c r="H129" s="4" t="s">
        <v>62</v>
      </c>
      <c r="I129" s="4" t="s">
        <v>274</v>
      </c>
      <c r="J129" s="4"/>
      <c r="K129" s="4" t="s">
        <v>467</v>
      </c>
      <c r="L129" s="5" t="str">
        <f>IF(AND($K129&lt;&gt;"",Config!$B$2&lt;&gt;""), Config!$B$2 &amp; "?id=" &amp; $K129, "")</f>
        <v/>
      </c>
      <c r="M129" s="4"/>
      <c r="N129" s="4" t="str">
        <f t="shared" ca="1" si="1"/>
        <v/>
      </c>
      <c r="O129" s="4" t="s">
        <v>284</v>
      </c>
    </row>
    <row r="130" spans="1:15" x14ac:dyDescent="0.2">
      <c r="A130" s="4" t="s">
        <v>454</v>
      </c>
      <c r="B130" s="4" t="s">
        <v>306</v>
      </c>
      <c r="C130" s="4" t="s">
        <v>42</v>
      </c>
      <c r="D130" s="4" t="s">
        <v>30</v>
      </c>
      <c r="E130" s="4" t="s">
        <v>290</v>
      </c>
      <c r="F130" s="4" t="s">
        <v>30</v>
      </c>
      <c r="G130" s="4" t="s">
        <v>30</v>
      </c>
      <c r="H130" s="4" t="s">
        <v>62</v>
      </c>
      <c r="I130" s="4" t="s">
        <v>307</v>
      </c>
      <c r="J130" s="4"/>
      <c r="K130" s="4" t="s">
        <v>467</v>
      </c>
      <c r="L130" s="5" t="str">
        <f>IF(AND($K130&lt;&gt;"",Config!$B$2&lt;&gt;""), Config!$B$2 &amp; "?id=" &amp; $K130, "")</f>
        <v/>
      </c>
      <c r="M130" s="4"/>
      <c r="N130" s="4" t="str">
        <f t="shared" ref="N130:N193" ca="1" si="2">IF($L130&lt;&gt;"","https://api.qrserver.com/v1/create-qr-code/?size=200x200&amp;data=" &amp; SUBSTITUTE($L130," ","%20") &amp; "&amp;cb=" &amp; TEXT(NOW(),"yyyymmddhhmmss"),"")</f>
        <v/>
      </c>
      <c r="O130" s="4" t="s">
        <v>284</v>
      </c>
    </row>
    <row r="131" spans="1:15" x14ac:dyDescent="0.2">
      <c r="A131" s="4" t="s">
        <v>454</v>
      </c>
      <c r="B131" s="4" t="s">
        <v>308</v>
      </c>
      <c r="C131" s="4" t="s">
        <v>48</v>
      </c>
      <c r="D131" s="4" t="s">
        <v>93</v>
      </c>
      <c r="E131" s="4" t="s">
        <v>309</v>
      </c>
      <c r="F131" s="4" t="s">
        <v>93</v>
      </c>
      <c r="G131" s="4" t="s">
        <v>95</v>
      </c>
      <c r="H131" s="4" t="s">
        <v>33</v>
      </c>
      <c r="I131" s="4" t="s">
        <v>280</v>
      </c>
      <c r="J131" s="4"/>
      <c r="K131" s="4" t="s">
        <v>466</v>
      </c>
      <c r="L131" s="5" t="str">
        <f>IF(AND($K131&lt;&gt;"",Config!$B$2&lt;&gt;""), Config!$B$2 &amp; "?id=" &amp; $K131, "")</f>
        <v/>
      </c>
      <c r="M131" s="4"/>
      <c r="N131" s="4" t="str">
        <f t="shared" ca="1" si="2"/>
        <v/>
      </c>
      <c r="O131" s="4" t="s">
        <v>310</v>
      </c>
    </row>
    <row r="132" spans="1:15" x14ac:dyDescent="0.2">
      <c r="A132" s="4" t="s">
        <v>454</v>
      </c>
      <c r="B132" s="4" t="s">
        <v>311</v>
      </c>
      <c r="C132" s="4" t="s">
        <v>29</v>
      </c>
      <c r="D132" s="4" t="s">
        <v>93</v>
      </c>
      <c r="E132" s="4" t="s">
        <v>309</v>
      </c>
      <c r="F132" s="4" t="s">
        <v>93</v>
      </c>
      <c r="G132" s="4" t="s">
        <v>95</v>
      </c>
      <c r="H132" s="4" t="s">
        <v>33</v>
      </c>
      <c r="I132" s="4" t="s">
        <v>280</v>
      </c>
      <c r="J132" s="4"/>
      <c r="K132" s="4" t="s">
        <v>466</v>
      </c>
      <c r="L132" s="5" t="str">
        <f>IF(AND($K132&lt;&gt;"",Config!$B$2&lt;&gt;""), Config!$B$2 &amp; "?id=" &amp; $K132, "")</f>
        <v/>
      </c>
      <c r="M132" s="4"/>
      <c r="N132" s="4" t="str">
        <f t="shared" ca="1" si="2"/>
        <v/>
      </c>
      <c r="O132" s="4" t="s">
        <v>310</v>
      </c>
    </row>
    <row r="133" spans="1:15" x14ac:dyDescent="0.2">
      <c r="A133" s="4" t="s">
        <v>454</v>
      </c>
      <c r="B133" s="4" t="s">
        <v>312</v>
      </c>
      <c r="C133" s="4" t="s">
        <v>29</v>
      </c>
      <c r="D133" s="4" t="s">
        <v>93</v>
      </c>
      <c r="E133" s="4" t="s">
        <v>164</v>
      </c>
      <c r="F133" s="4" t="s">
        <v>93</v>
      </c>
      <c r="G133" s="4" t="s">
        <v>95</v>
      </c>
      <c r="H133" s="4" t="s">
        <v>33</v>
      </c>
      <c r="I133" s="4" t="s">
        <v>313</v>
      </c>
      <c r="J133" s="4"/>
      <c r="K133" s="4" t="s">
        <v>466</v>
      </c>
      <c r="L133" s="5" t="str">
        <f>IF(AND($K133&lt;&gt;"",Config!$B$2&lt;&gt;""), Config!$B$2 &amp; "?id=" &amp; $K133, "")</f>
        <v/>
      </c>
      <c r="M133" s="4"/>
      <c r="N133" s="4" t="str">
        <f t="shared" ca="1" si="2"/>
        <v/>
      </c>
      <c r="O133" s="4" t="s">
        <v>310</v>
      </c>
    </row>
    <row r="134" spans="1:15" x14ac:dyDescent="0.2">
      <c r="A134" s="4" t="s">
        <v>454</v>
      </c>
      <c r="B134" s="4" t="s">
        <v>314</v>
      </c>
      <c r="C134" s="4" t="s">
        <v>29</v>
      </c>
      <c r="D134" s="4" t="s">
        <v>93</v>
      </c>
      <c r="E134" s="4" t="s">
        <v>239</v>
      </c>
      <c r="F134" s="4" t="s">
        <v>93</v>
      </c>
      <c r="G134" s="4" t="s">
        <v>95</v>
      </c>
      <c r="H134" s="4" t="s">
        <v>76</v>
      </c>
      <c r="I134" s="4" t="s">
        <v>264</v>
      </c>
      <c r="J134" s="4"/>
      <c r="K134" s="4" t="s">
        <v>466</v>
      </c>
      <c r="L134" s="5" t="str">
        <f>IF(AND($K134&lt;&gt;"",Config!$B$2&lt;&gt;""), Config!$B$2 &amp; "?id=" &amp; $K134, "")</f>
        <v/>
      </c>
      <c r="M134" s="4"/>
      <c r="N134" s="4" t="str">
        <f t="shared" ca="1" si="2"/>
        <v/>
      </c>
      <c r="O134" s="4" t="s">
        <v>310</v>
      </c>
    </row>
    <row r="135" spans="1:15" x14ac:dyDescent="0.2">
      <c r="A135" s="4" t="s">
        <v>454</v>
      </c>
      <c r="B135" s="4" t="s">
        <v>315</v>
      </c>
      <c r="C135" s="4" t="s">
        <v>46</v>
      </c>
      <c r="D135" s="4" t="s">
        <v>93</v>
      </c>
      <c r="E135" s="4" t="s">
        <v>210</v>
      </c>
      <c r="F135" s="4" t="s">
        <v>93</v>
      </c>
      <c r="G135" s="4" t="s">
        <v>95</v>
      </c>
      <c r="H135" s="4" t="s">
        <v>33</v>
      </c>
      <c r="I135" s="4" t="s">
        <v>165</v>
      </c>
      <c r="J135" s="4"/>
      <c r="K135" s="4" t="s">
        <v>466</v>
      </c>
      <c r="L135" s="5" t="str">
        <f>IF(AND($K135&lt;&gt;"",Config!$B$2&lt;&gt;""), Config!$B$2 &amp; "?id=" &amp; $K135, "")</f>
        <v/>
      </c>
      <c r="M135" s="4"/>
      <c r="N135" s="4" t="str">
        <f t="shared" ca="1" si="2"/>
        <v/>
      </c>
      <c r="O135" s="4" t="s">
        <v>310</v>
      </c>
    </row>
    <row r="136" spans="1:15" x14ac:dyDescent="0.2">
      <c r="A136" s="4" t="s">
        <v>454</v>
      </c>
      <c r="B136" s="4" t="s">
        <v>316</v>
      </c>
      <c r="C136" s="4" t="s">
        <v>46</v>
      </c>
      <c r="D136" s="4" t="s">
        <v>93</v>
      </c>
      <c r="E136" s="4" t="s">
        <v>159</v>
      </c>
      <c r="F136" s="4" t="s">
        <v>93</v>
      </c>
      <c r="G136" s="4" t="s">
        <v>95</v>
      </c>
      <c r="H136" s="4" t="s">
        <v>33</v>
      </c>
      <c r="I136" s="4" t="s">
        <v>168</v>
      </c>
      <c r="J136" s="4"/>
      <c r="K136" s="4" t="s">
        <v>466</v>
      </c>
      <c r="L136" s="5" t="str">
        <f>IF(AND($K136&lt;&gt;"",Config!$B$2&lt;&gt;""), Config!$B$2 &amp; "?id=" &amp; $K136, "")</f>
        <v/>
      </c>
      <c r="M136" s="4"/>
      <c r="N136" s="4" t="str">
        <f t="shared" ca="1" si="2"/>
        <v/>
      </c>
      <c r="O136" s="4" t="s">
        <v>310</v>
      </c>
    </row>
    <row r="137" spans="1:15" x14ac:dyDescent="0.2">
      <c r="A137" s="4" t="s">
        <v>454</v>
      </c>
      <c r="B137" s="4" t="s">
        <v>317</v>
      </c>
      <c r="C137" s="4" t="s">
        <v>318</v>
      </c>
      <c r="D137" s="4" t="s">
        <v>93</v>
      </c>
      <c r="E137" s="4" t="s">
        <v>159</v>
      </c>
      <c r="F137" s="4" t="s">
        <v>93</v>
      </c>
      <c r="G137" s="4" t="s">
        <v>95</v>
      </c>
      <c r="H137" s="4" t="s">
        <v>33</v>
      </c>
      <c r="I137" s="4" t="s">
        <v>168</v>
      </c>
      <c r="J137" s="4"/>
      <c r="K137" s="4" t="s">
        <v>466</v>
      </c>
      <c r="L137" s="5" t="str">
        <f>IF(AND($K137&lt;&gt;"",Config!$B$2&lt;&gt;""), Config!$B$2 &amp; "?id=" &amp; $K137, "")</f>
        <v/>
      </c>
      <c r="M137" s="4"/>
      <c r="N137" s="4" t="str">
        <f t="shared" ca="1" si="2"/>
        <v/>
      </c>
      <c r="O137" s="4" t="s">
        <v>310</v>
      </c>
    </row>
    <row r="138" spans="1:15" x14ac:dyDescent="0.2">
      <c r="A138" s="4" t="s">
        <v>454</v>
      </c>
      <c r="B138" s="4" t="s">
        <v>319</v>
      </c>
      <c r="C138" s="4" t="s">
        <v>126</v>
      </c>
      <c r="D138" s="4" t="s">
        <v>93</v>
      </c>
      <c r="E138" s="4" t="s">
        <v>159</v>
      </c>
      <c r="F138" s="4" t="s">
        <v>93</v>
      </c>
      <c r="G138" s="4" t="s">
        <v>95</v>
      </c>
      <c r="H138" s="4" t="s">
        <v>62</v>
      </c>
      <c r="I138" s="4" t="s">
        <v>229</v>
      </c>
      <c r="J138" s="4"/>
      <c r="K138" s="4" t="s">
        <v>466</v>
      </c>
      <c r="L138" s="5" t="str">
        <f>IF(AND($K138&lt;&gt;"",Config!$B$2&lt;&gt;""), Config!$B$2 &amp; "?id=" &amp; $K138, "")</f>
        <v/>
      </c>
      <c r="M138" s="4"/>
      <c r="N138" s="4" t="str">
        <f t="shared" ca="1" si="2"/>
        <v/>
      </c>
      <c r="O138" s="4" t="s">
        <v>310</v>
      </c>
    </row>
    <row r="139" spans="1:15" x14ac:dyDescent="0.2">
      <c r="A139" s="4" t="s">
        <v>454</v>
      </c>
      <c r="B139" s="4" t="s">
        <v>320</v>
      </c>
      <c r="C139" s="4" t="s">
        <v>92</v>
      </c>
      <c r="D139" s="4" t="s">
        <v>93</v>
      </c>
      <c r="E139" s="4" t="s">
        <v>159</v>
      </c>
      <c r="F139" s="4" t="s">
        <v>93</v>
      </c>
      <c r="G139" s="4" t="s">
        <v>95</v>
      </c>
      <c r="H139" s="4" t="s">
        <v>62</v>
      </c>
      <c r="I139" s="4" t="s">
        <v>229</v>
      </c>
      <c r="J139" s="4"/>
      <c r="K139" s="4" t="s">
        <v>466</v>
      </c>
      <c r="L139" s="5" t="str">
        <f>IF(AND($K139&lt;&gt;"",Config!$B$2&lt;&gt;""), Config!$B$2 &amp; "?id=" &amp; $K139, "")</f>
        <v/>
      </c>
      <c r="M139" s="4"/>
      <c r="N139" s="4" t="str">
        <f t="shared" ca="1" si="2"/>
        <v/>
      </c>
      <c r="O139" s="4" t="s">
        <v>310</v>
      </c>
    </row>
    <row r="140" spans="1:15" x14ac:dyDescent="0.2">
      <c r="A140" s="4" t="s">
        <v>454</v>
      </c>
      <c r="B140" s="4" t="s">
        <v>321</v>
      </c>
      <c r="C140" s="4" t="s">
        <v>29</v>
      </c>
      <c r="D140" s="4" t="s">
        <v>93</v>
      </c>
      <c r="E140" s="4" t="s">
        <v>239</v>
      </c>
      <c r="F140" s="4" t="s">
        <v>93</v>
      </c>
      <c r="G140" s="4" t="s">
        <v>95</v>
      </c>
      <c r="H140" s="4" t="s">
        <v>33</v>
      </c>
      <c r="I140" s="4" t="s">
        <v>197</v>
      </c>
      <c r="J140" s="4"/>
      <c r="K140" s="4" t="s">
        <v>466</v>
      </c>
      <c r="L140" s="5" t="str">
        <f>IF(AND($K140&lt;&gt;"",Config!$B$2&lt;&gt;""), Config!$B$2 &amp; "?id=" &amp; $K140, "")</f>
        <v/>
      </c>
      <c r="M140" s="4"/>
      <c r="N140" s="4" t="str">
        <f t="shared" ca="1" si="2"/>
        <v/>
      </c>
      <c r="O140" s="4" t="s">
        <v>310</v>
      </c>
    </row>
    <row r="141" spans="1:15" x14ac:dyDescent="0.2">
      <c r="A141" s="4" t="s">
        <v>454</v>
      </c>
      <c r="B141" s="4" t="s">
        <v>322</v>
      </c>
      <c r="C141" s="4" t="s">
        <v>29</v>
      </c>
      <c r="D141" s="4" t="s">
        <v>93</v>
      </c>
      <c r="E141" s="4" t="s">
        <v>159</v>
      </c>
      <c r="F141" s="4" t="s">
        <v>93</v>
      </c>
      <c r="G141" s="4" t="s">
        <v>95</v>
      </c>
      <c r="H141" s="4" t="s">
        <v>33</v>
      </c>
      <c r="I141" s="4" t="s">
        <v>170</v>
      </c>
      <c r="J141" s="4"/>
      <c r="K141" s="4" t="s">
        <v>466</v>
      </c>
      <c r="L141" s="5" t="str">
        <f>IF(AND($K141&lt;&gt;"",Config!$B$2&lt;&gt;""), Config!$B$2 &amp; "?id=" &amp; $K141, "")</f>
        <v/>
      </c>
      <c r="M141" s="4"/>
      <c r="N141" s="4" t="str">
        <f t="shared" ca="1" si="2"/>
        <v/>
      </c>
      <c r="O141" s="4" t="s">
        <v>310</v>
      </c>
    </row>
    <row r="142" spans="1:15" x14ac:dyDescent="0.2">
      <c r="A142" s="4" t="s">
        <v>454</v>
      </c>
      <c r="B142" s="4" t="s">
        <v>323</v>
      </c>
      <c r="C142" s="4" t="s">
        <v>46</v>
      </c>
      <c r="D142" s="4" t="s">
        <v>114</v>
      </c>
      <c r="E142" s="4" t="s">
        <v>115</v>
      </c>
      <c r="F142" s="4" t="s">
        <v>115</v>
      </c>
      <c r="G142" s="4" t="s">
        <v>115</v>
      </c>
      <c r="H142" s="4" t="s">
        <v>62</v>
      </c>
      <c r="I142" s="4" t="s">
        <v>248</v>
      </c>
      <c r="J142" s="4"/>
      <c r="K142" s="4" t="s">
        <v>465</v>
      </c>
      <c r="L142" s="5" t="str">
        <f>IF(AND($K142&lt;&gt;"",Config!$B$2&lt;&gt;""), Config!$B$2 &amp; "?id=" &amp; $K142, "")</f>
        <v/>
      </c>
      <c r="M142" s="4"/>
      <c r="N142" s="4" t="str">
        <f t="shared" ca="1" si="2"/>
        <v/>
      </c>
      <c r="O142" s="4" t="s">
        <v>324</v>
      </c>
    </row>
    <row r="143" spans="1:15" x14ac:dyDescent="0.2">
      <c r="A143" s="4" t="s">
        <v>454</v>
      </c>
      <c r="B143" s="4" t="s">
        <v>325</v>
      </c>
      <c r="C143" s="4" t="s">
        <v>46</v>
      </c>
      <c r="D143" s="4" t="s">
        <v>114</v>
      </c>
      <c r="E143" s="4" t="s">
        <v>115</v>
      </c>
      <c r="F143" s="4" t="s">
        <v>115</v>
      </c>
      <c r="G143" s="4" t="s">
        <v>115</v>
      </c>
      <c r="H143" s="4" t="s">
        <v>62</v>
      </c>
      <c r="I143" s="4" t="s">
        <v>326</v>
      </c>
      <c r="J143" s="4"/>
      <c r="K143" s="4" t="s">
        <v>465</v>
      </c>
      <c r="L143" s="5" t="str">
        <f>IF(AND($K143&lt;&gt;"",Config!$B$2&lt;&gt;""), Config!$B$2 &amp; "?id=" &amp; $K143, "")</f>
        <v/>
      </c>
      <c r="M143" s="4"/>
      <c r="N143" s="4" t="str">
        <f t="shared" ca="1" si="2"/>
        <v/>
      </c>
      <c r="O143" s="4" t="s">
        <v>324</v>
      </c>
    </row>
    <row r="144" spans="1:15" x14ac:dyDescent="0.2">
      <c r="A144" s="4" t="s">
        <v>454</v>
      </c>
      <c r="B144" s="4" t="s">
        <v>327</v>
      </c>
      <c r="C144" s="4" t="s">
        <v>29</v>
      </c>
      <c r="D144" s="4" t="s">
        <v>114</v>
      </c>
      <c r="E144" s="4" t="s">
        <v>115</v>
      </c>
      <c r="F144" s="4" t="s">
        <v>115</v>
      </c>
      <c r="G144" s="4" t="s">
        <v>115</v>
      </c>
      <c r="H144" s="4" t="s">
        <v>62</v>
      </c>
      <c r="I144" s="4" t="s">
        <v>197</v>
      </c>
      <c r="J144" s="4"/>
      <c r="K144" s="4" t="s">
        <v>465</v>
      </c>
      <c r="L144" s="5" t="str">
        <f>IF(AND($K144&lt;&gt;"",Config!$B$2&lt;&gt;""), Config!$B$2 &amp; "?id=" &amp; $K144, "")</f>
        <v/>
      </c>
      <c r="M144" s="4"/>
      <c r="N144" s="4" t="str">
        <f t="shared" ca="1" si="2"/>
        <v/>
      </c>
      <c r="O144" s="4" t="s">
        <v>324</v>
      </c>
    </row>
    <row r="145" spans="1:15" x14ac:dyDescent="0.2">
      <c r="A145" s="4" t="s">
        <v>454</v>
      </c>
      <c r="B145" s="4" t="s">
        <v>328</v>
      </c>
      <c r="C145" s="4" t="s">
        <v>329</v>
      </c>
      <c r="D145" s="4" t="s">
        <v>114</v>
      </c>
      <c r="E145" s="4" t="s">
        <v>115</v>
      </c>
      <c r="F145" s="4" t="s">
        <v>115</v>
      </c>
      <c r="G145" s="4" t="s">
        <v>115</v>
      </c>
      <c r="H145" s="4" t="s">
        <v>62</v>
      </c>
      <c r="I145" s="4" t="s">
        <v>330</v>
      </c>
      <c r="J145" s="4"/>
      <c r="K145" s="4" t="s">
        <v>465</v>
      </c>
      <c r="L145" s="5" t="str">
        <f>IF(AND($K145&lt;&gt;"",Config!$B$2&lt;&gt;""), Config!$B$2 &amp; "?id=" &amp; $K145, "")</f>
        <v/>
      </c>
      <c r="M145" s="4"/>
      <c r="N145" s="4" t="str">
        <f t="shared" ca="1" si="2"/>
        <v/>
      </c>
      <c r="O145" s="4" t="s">
        <v>324</v>
      </c>
    </row>
    <row r="146" spans="1:15" x14ac:dyDescent="0.2">
      <c r="A146" s="4" t="s">
        <v>454</v>
      </c>
      <c r="B146" s="4" t="s">
        <v>331</v>
      </c>
      <c r="C146" s="4" t="s">
        <v>332</v>
      </c>
      <c r="D146" s="4" t="s">
        <v>114</v>
      </c>
      <c r="E146" s="4" t="s">
        <v>115</v>
      </c>
      <c r="F146" s="4" t="s">
        <v>115</v>
      </c>
      <c r="G146" s="4" t="s">
        <v>115</v>
      </c>
      <c r="H146" s="4" t="s">
        <v>62</v>
      </c>
      <c r="I146" s="4" t="s">
        <v>307</v>
      </c>
      <c r="J146" s="4"/>
      <c r="K146" s="4" t="s">
        <v>465</v>
      </c>
      <c r="L146" s="5" t="str">
        <f>IF(AND($K146&lt;&gt;"",Config!$B$2&lt;&gt;""), Config!$B$2 &amp; "?id=" &amp; $K146, "")</f>
        <v/>
      </c>
      <c r="M146" s="4"/>
      <c r="N146" s="4" t="str">
        <f t="shared" ca="1" si="2"/>
        <v/>
      </c>
      <c r="O146" s="4" t="s">
        <v>324</v>
      </c>
    </row>
    <row r="147" spans="1:15" x14ac:dyDescent="0.2">
      <c r="A147" s="4" t="s">
        <v>454</v>
      </c>
      <c r="B147" s="4" t="s">
        <v>333</v>
      </c>
      <c r="C147" s="4" t="s">
        <v>334</v>
      </c>
      <c r="D147" s="4" t="s">
        <v>30</v>
      </c>
      <c r="E147" s="4" t="s">
        <v>239</v>
      </c>
      <c r="F147" s="4" t="s">
        <v>30</v>
      </c>
      <c r="G147" s="4" t="s">
        <v>30</v>
      </c>
      <c r="H147" s="4" t="s">
        <v>76</v>
      </c>
      <c r="I147" s="4" t="s">
        <v>174</v>
      </c>
      <c r="J147" s="4"/>
      <c r="K147" s="4" t="s">
        <v>464</v>
      </c>
      <c r="L147" s="5" t="str">
        <f>IF(AND($K147&lt;&gt;"",Config!$B$2&lt;&gt;""), Config!$B$2 &amp; "?id=" &amp; $K147, "")</f>
        <v/>
      </c>
      <c r="M147" s="4"/>
      <c r="N147" s="4" t="str">
        <f t="shared" ca="1" si="2"/>
        <v/>
      </c>
      <c r="O147" s="4" t="s">
        <v>335</v>
      </c>
    </row>
    <row r="148" spans="1:15" x14ac:dyDescent="0.2">
      <c r="A148" s="4" t="s">
        <v>454</v>
      </c>
      <c r="B148" s="4" t="s">
        <v>336</v>
      </c>
      <c r="C148" s="4" t="s">
        <v>92</v>
      </c>
      <c r="D148" s="4" t="s">
        <v>30</v>
      </c>
      <c r="E148" s="4" t="s">
        <v>239</v>
      </c>
      <c r="F148" s="4" t="s">
        <v>30</v>
      </c>
      <c r="G148" s="4" t="s">
        <v>30</v>
      </c>
      <c r="H148" s="4" t="s">
        <v>76</v>
      </c>
      <c r="I148" s="4" t="s">
        <v>174</v>
      </c>
      <c r="J148" s="4"/>
      <c r="K148" s="4" t="s">
        <v>464</v>
      </c>
      <c r="L148" s="5" t="str">
        <f>IF(AND($K148&lt;&gt;"",Config!$B$2&lt;&gt;""), Config!$B$2 &amp; "?id=" &amp; $K148, "")</f>
        <v/>
      </c>
      <c r="M148" s="4"/>
      <c r="N148" s="4" t="str">
        <f t="shared" ca="1" si="2"/>
        <v/>
      </c>
      <c r="O148" s="4" t="s">
        <v>335</v>
      </c>
    </row>
    <row r="149" spans="1:15" x14ac:dyDescent="0.2">
      <c r="A149" s="4" t="s">
        <v>454</v>
      </c>
      <c r="B149" s="4" t="s">
        <v>337</v>
      </c>
      <c r="C149" s="4" t="s">
        <v>39</v>
      </c>
      <c r="D149" s="4" t="s">
        <v>30</v>
      </c>
      <c r="E149" s="4" t="s">
        <v>290</v>
      </c>
      <c r="F149" s="4" t="s">
        <v>152</v>
      </c>
      <c r="G149" s="4" t="s">
        <v>152</v>
      </c>
      <c r="H149" s="4" t="s">
        <v>76</v>
      </c>
      <c r="I149" s="4" t="s">
        <v>338</v>
      </c>
      <c r="J149" s="4"/>
      <c r="K149" s="4" t="s">
        <v>464</v>
      </c>
      <c r="L149" s="5" t="str">
        <f>IF(AND($K149&lt;&gt;"",Config!$B$2&lt;&gt;""), Config!$B$2 &amp; "?id=" &amp; $K149, "")</f>
        <v/>
      </c>
      <c r="M149" s="4"/>
      <c r="N149" s="4" t="str">
        <f t="shared" ca="1" si="2"/>
        <v/>
      </c>
      <c r="O149" s="4" t="s">
        <v>335</v>
      </c>
    </row>
    <row r="150" spans="1:15" x14ac:dyDescent="0.2">
      <c r="A150" s="4" t="s">
        <v>454</v>
      </c>
      <c r="B150" s="4" t="s">
        <v>339</v>
      </c>
      <c r="C150" s="4" t="s">
        <v>340</v>
      </c>
      <c r="D150" s="4" t="s">
        <v>30</v>
      </c>
      <c r="E150" s="4" t="s">
        <v>341</v>
      </c>
      <c r="F150" s="4" t="s">
        <v>152</v>
      </c>
      <c r="G150" s="4" t="s">
        <v>152</v>
      </c>
      <c r="H150" s="4" t="s">
        <v>62</v>
      </c>
      <c r="I150" s="4" t="s">
        <v>295</v>
      </c>
      <c r="J150" s="4"/>
      <c r="K150" s="4" t="s">
        <v>464</v>
      </c>
      <c r="L150" s="5" t="str">
        <f>IF(AND($K150&lt;&gt;"",Config!$B$2&lt;&gt;""), Config!$B$2 &amp; "?id=" &amp; $K150, "")</f>
        <v/>
      </c>
      <c r="M150" s="4"/>
      <c r="N150" s="4" t="str">
        <f t="shared" ca="1" si="2"/>
        <v/>
      </c>
      <c r="O150" s="4" t="s">
        <v>335</v>
      </c>
    </row>
    <row r="151" spans="1:15" x14ac:dyDescent="0.2">
      <c r="A151" s="4" t="s">
        <v>454</v>
      </c>
      <c r="B151" s="4" t="s">
        <v>342</v>
      </c>
      <c r="C151" s="4" t="s">
        <v>29</v>
      </c>
      <c r="D151" s="4" t="s">
        <v>30</v>
      </c>
      <c r="E151" s="4" t="s">
        <v>341</v>
      </c>
      <c r="F151" s="4" t="s">
        <v>152</v>
      </c>
      <c r="G151" s="4" t="s">
        <v>152</v>
      </c>
      <c r="H151" s="4" t="s">
        <v>62</v>
      </c>
      <c r="I151" s="4" t="s">
        <v>295</v>
      </c>
      <c r="J151" s="4"/>
      <c r="K151" s="4" t="s">
        <v>464</v>
      </c>
      <c r="L151" s="5" t="str">
        <f>IF(AND($K151&lt;&gt;"",Config!$B$2&lt;&gt;""), Config!$B$2 &amp; "?id=" &amp; $K151, "")</f>
        <v/>
      </c>
      <c r="M151" s="4"/>
      <c r="N151" s="4" t="str">
        <f t="shared" ca="1" si="2"/>
        <v/>
      </c>
      <c r="O151" s="4" t="s">
        <v>335</v>
      </c>
    </row>
    <row r="152" spans="1:15" x14ac:dyDescent="0.2">
      <c r="A152" s="4" t="s">
        <v>454</v>
      </c>
      <c r="B152" s="4" t="s">
        <v>343</v>
      </c>
      <c r="C152" s="4" t="s">
        <v>46</v>
      </c>
      <c r="D152" s="4" t="s">
        <v>30</v>
      </c>
      <c r="E152" s="4" t="s">
        <v>341</v>
      </c>
      <c r="F152" s="4" t="s">
        <v>152</v>
      </c>
      <c r="G152" s="4" t="s">
        <v>152</v>
      </c>
      <c r="H152" s="4" t="s">
        <v>62</v>
      </c>
      <c r="I152" s="4" t="s">
        <v>295</v>
      </c>
      <c r="J152" s="4"/>
      <c r="K152" s="4" t="s">
        <v>464</v>
      </c>
      <c r="L152" s="5" t="str">
        <f>IF(AND($K152&lt;&gt;"",Config!$B$2&lt;&gt;""), Config!$B$2 &amp; "?id=" &amp; $K152, "")</f>
        <v/>
      </c>
      <c r="M152" s="4"/>
      <c r="N152" s="4" t="str">
        <f t="shared" ca="1" si="2"/>
        <v/>
      </c>
      <c r="O152" s="4" t="s">
        <v>335</v>
      </c>
    </row>
    <row r="153" spans="1:15" x14ac:dyDescent="0.2">
      <c r="A153" s="4" t="s">
        <v>454</v>
      </c>
      <c r="B153" s="4" t="s">
        <v>344</v>
      </c>
      <c r="C153" s="4" t="s">
        <v>345</v>
      </c>
      <c r="D153" s="4" t="s">
        <v>30</v>
      </c>
      <c r="E153" s="4" t="s">
        <v>341</v>
      </c>
      <c r="F153" s="4" t="s">
        <v>152</v>
      </c>
      <c r="G153" s="4" t="s">
        <v>152</v>
      </c>
      <c r="H153" s="4" t="s">
        <v>62</v>
      </c>
      <c r="I153" s="4" t="s">
        <v>295</v>
      </c>
      <c r="J153" s="4"/>
      <c r="K153" s="4" t="s">
        <v>464</v>
      </c>
      <c r="L153" s="5" t="str">
        <f>IF(AND($K153&lt;&gt;"",Config!$B$2&lt;&gt;""), Config!$B$2 &amp; "?id=" &amp; $K153, "")</f>
        <v/>
      </c>
      <c r="M153" s="4"/>
      <c r="N153" s="4" t="str">
        <f t="shared" ca="1" si="2"/>
        <v/>
      </c>
      <c r="O153" s="4" t="s">
        <v>335</v>
      </c>
    </row>
    <row r="154" spans="1:15" x14ac:dyDescent="0.2">
      <c r="A154" s="4" t="s">
        <v>454</v>
      </c>
      <c r="B154" s="4" t="s">
        <v>346</v>
      </c>
      <c r="C154" s="4" t="s">
        <v>345</v>
      </c>
      <c r="D154" s="4" t="s">
        <v>30</v>
      </c>
      <c r="E154" s="4" t="s">
        <v>341</v>
      </c>
      <c r="F154" s="4" t="s">
        <v>152</v>
      </c>
      <c r="G154" s="4" t="s">
        <v>152</v>
      </c>
      <c r="H154" s="4" t="s">
        <v>62</v>
      </c>
      <c r="I154" s="4" t="s">
        <v>295</v>
      </c>
      <c r="J154" s="4"/>
      <c r="K154" s="4" t="s">
        <v>464</v>
      </c>
      <c r="L154" s="5" t="str">
        <f>IF(AND($K154&lt;&gt;"",Config!$B$2&lt;&gt;""), Config!$B$2 &amp; "?id=" &amp; $K154, "")</f>
        <v/>
      </c>
      <c r="M154" s="4"/>
      <c r="N154" s="4" t="str">
        <f t="shared" ca="1" si="2"/>
        <v/>
      </c>
      <c r="O154" s="4" t="s">
        <v>335</v>
      </c>
    </row>
    <row r="155" spans="1:15" x14ac:dyDescent="0.2">
      <c r="A155" s="4" t="s">
        <v>454</v>
      </c>
      <c r="B155" s="4" t="s">
        <v>347</v>
      </c>
      <c r="C155" s="4" t="s">
        <v>46</v>
      </c>
      <c r="D155" s="4" t="s">
        <v>30</v>
      </c>
      <c r="E155" s="4" t="s">
        <v>348</v>
      </c>
      <c r="F155" s="4" t="s">
        <v>30</v>
      </c>
      <c r="G155" s="4" t="s">
        <v>30</v>
      </c>
      <c r="H155" s="4" t="s">
        <v>62</v>
      </c>
      <c r="I155" s="4" t="s">
        <v>349</v>
      </c>
      <c r="J155" s="4"/>
      <c r="K155" s="4" t="s">
        <v>464</v>
      </c>
      <c r="L155" s="5" t="str">
        <f>IF(AND($K155&lt;&gt;"",Config!$B$2&lt;&gt;""), Config!$B$2 &amp; "?id=" &amp; $K155, "")</f>
        <v/>
      </c>
      <c r="M155" s="4"/>
      <c r="N155" s="4" t="str">
        <f t="shared" ca="1" si="2"/>
        <v/>
      </c>
      <c r="O155" s="4" t="s">
        <v>335</v>
      </c>
    </row>
    <row r="156" spans="1:15" x14ac:dyDescent="0.2">
      <c r="A156" s="4" t="s">
        <v>454</v>
      </c>
      <c r="B156" s="4" t="s">
        <v>350</v>
      </c>
      <c r="C156" s="4" t="s">
        <v>29</v>
      </c>
      <c r="D156" s="4" t="s">
        <v>30</v>
      </c>
      <c r="E156" s="4" t="s">
        <v>348</v>
      </c>
      <c r="F156" s="4" t="s">
        <v>30</v>
      </c>
      <c r="G156" s="4" t="s">
        <v>30</v>
      </c>
      <c r="H156" s="4" t="s">
        <v>62</v>
      </c>
      <c r="I156" s="4" t="s">
        <v>349</v>
      </c>
      <c r="J156" s="4"/>
      <c r="K156" s="4" t="s">
        <v>464</v>
      </c>
      <c r="L156" s="5" t="str">
        <f>IF(AND($K156&lt;&gt;"",Config!$B$2&lt;&gt;""), Config!$B$2 &amp; "?id=" &amp; $K156, "")</f>
        <v/>
      </c>
      <c r="M156" s="4"/>
      <c r="N156" s="4" t="str">
        <f t="shared" ca="1" si="2"/>
        <v/>
      </c>
      <c r="O156" s="4" t="s">
        <v>335</v>
      </c>
    </row>
    <row r="157" spans="1:15" x14ac:dyDescent="0.2">
      <c r="A157" s="4" t="s">
        <v>454</v>
      </c>
      <c r="B157" s="4" t="s">
        <v>351</v>
      </c>
      <c r="C157" s="4" t="s">
        <v>352</v>
      </c>
      <c r="D157" s="4" t="s">
        <v>30</v>
      </c>
      <c r="E157" s="4" t="s">
        <v>348</v>
      </c>
      <c r="F157" s="4" t="s">
        <v>30</v>
      </c>
      <c r="G157" s="4" t="s">
        <v>30</v>
      </c>
      <c r="H157" s="4" t="s">
        <v>62</v>
      </c>
      <c r="I157" s="4" t="s">
        <v>349</v>
      </c>
      <c r="J157" s="4"/>
      <c r="K157" s="4" t="s">
        <v>464</v>
      </c>
      <c r="L157" s="5" t="str">
        <f>IF(AND($K157&lt;&gt;"",Config!$B$2&lt;&gt;""), Config!$B$2 &amp; "?id=" &amp; $K157, "")</f>
        <v/>
      </c>
      <c r="M157" s="4"/>
      <c r="N157" s="4" t="str">
        <f t="shared" ca="1" si="2"/>
        <v/>
      </c>
      <c r="O157" s="4" t="s">
        <v>335</v>
      </c>
    </row>
    <row r="158" spans="1:15" x14ac:dyDescent="0.2">
      <c r="A158" s="4" t="s">
        <v>454</v>
      </c>
      <c r="B158" s="4" t="s">
        <v>353</v>
      </c>
      <c r="C158" s="4" t="s">
        <v>180</v>
      </c>
      <c r="D158" s="4" t="s">
        <v>30</v>
      </c>
      <c r="E158" s="4" t="s">
        <v>37</v>
      </c>
      <c r="F158" s="4" t="s">
        <v>37</v>
      </c>
      <c r="G158" s="4" t="s">
        <v>37</v>
      </c>
      <c r="H158" s="4" t="s">
        <v>37</v>
      </c>
      <c r="I158" s="4" t="s">
        <v>37</v>
      </c>
      <c r="J158" s="4"/>
      <c r="K158" s="4" t="s">
        <v>464</v>
      </c>
      <c r="L158" s="5" t="str">
        <f>IF(AND($K158&lt;&gt;"",Config!$B$2&lt;&gt;""), Config!$B$2 &amp; "?id=" &amp; $K158, "")</f>
        <v/>
      </c>
      <c r="M158" s="4"/>
      <c r="N158" s="4" t="str">
        <f t="shared" ca="1" si="2"/>
        <v/>
      </c>
      <c r="O158" s="4" t="s">
        <v>335</v>
      </c>
    </row>
    <row r="159" spans="1:15" x14ac:dyDescent="0.2">
      <c r="A159" s="4" t="s">
        <v>454</v>
      </c>
      <c r="B159" s="4" t="s">
        <v>354</v>
      </c>
      <c r="C159" s="4" t="s">
        <v>46</v>
      </c>
      <c r="D159" s="4" t="s">
        <v>30</v>
      </c>
      <c r="E159" s="4" t="s">
        <v>37</v>
      </c>
      <c r="F159" s="4" t="s">
        <v>37</v>
      </c>
      <c r="G159" s="4" t="s">
        <v>37</v>
      </c>
      <c r="H159" s="4" t="s">
        <v>37</v>
      </c>
      <c r="I159" s="4" t="s">
        <v>37</v>
      </c>
      <c r="J159" s="4"/>
      <c r="K159" s="4" t="s">
        <v>464</v>
      </c>
      <c r="L159" s="5" t="str">
        <f>IF(AND($K159&lt;&gt;"",Config!$B$2&lt;&gt;""), Config!$B$2 &amp; "?id=" &amp; $K159, "")</f>
        <v/>
      </c>
      <c r="M159" s="4"/>
      <c r="N159" s="4" t="str">
        <f t="shared" ca="1" si="2"/>
        <v/>
      </c>
      <c r="O159" s="4" t="s">
        <v>335</v>
      </c>
    </row>
    <row r="160" spans="1:15" x14ac:dyDescent="0.2">
      <c r="A160" s="4" t="s">
        <v>454</v>
      </c>
      <c r="B160" s="4" t="s">
        <v>355</v>
      </c>
      <c r="C160" s="4" t="s">
        <v>29</v>
      </c>
      <c r="D160" s="4" t="s">
        <v>93</v>
      </c>
      <c r="E160" s="4" t="s">
        <v>37</v>
      </c>
      <c r="F160" s="4" t="s">
        <v>37</v>
      </c>
      <c r="G160" s="4" t="s">
        <v>37</v>
      </c>
      <c r="H160" s="4" t="s">
        <v>37</v>
      </c>
      <c r="I160" s="4" t="s">
        <v>37</v>
      </c>
      <c r="J160" s="4"/>
      <c r="K160" s="4" t="s">
        <v>464</v>
      </c>
      <c r="L160" s="5" t="str">
        <f>IF(AND($K160&lt;&gt;"",Config!$B$2&lt;&gt;""), Config!$B$2 &amp; "?id=" &amp; $K160, "")</f>
        <v/>
      </c>
      <c r="M160" s="4"/>
      <c r="N160" s="4" t="str">
        <f t="shared" ca="1" si="2"/>
        <v/>
      </c>
      <c r="O160" s="4" t="s">
        <v>335</v>
      </c>
    </row>
    <row r="161" spans="1:15" x14ac:dyDescent="0.2">
      <c r="A161" s="4" t="s">
        <v>454</v>
      </c>
      <c r="B161" s="4" t="s">
        <v>356</v>
      </c>
      <c r="C161" s="4" t="s">
        <v>92</v>
      </c>
      <c r="D161" s="4" t="s">
        <v>93</v>
      </c>
      <c r="E161" s="4" t="s">
        <v>93</v>
      </c>
      <c r="F161" s="4" t="s">
        <v>93</v>
      </c>
      <c r="G161" s="4" t="s">
        <v>95</v>
      </c>
      <c r="H161" s="4" t="s">
        <v>33</v>
      </c>
      <c r="I161" s="4" t="s">
        <v>357</v>
      </c>
      <c r="J161" s="4"/>
      <c r="K161" s="4" t="s">
        <v>464</v>
      </c>
      <c r="L161" s="5" t="str">
        <f>IF(AND($K161&lt;&gt;"",Config!$B$2&lt;&gt;""), Config!$B$2 &amp; "?id=" &amp; $K161, "")</f>
        <v/>
      </c>
      <c r="M161" s="4"/>
      <c r="N161" s="4" t="str">
        <f t="shared" ca="1" si="2"/>
        <v/>
      </c>
      <c r="O161" s="4" t="s">
        <v>335</v>
      </c>
    </row>
    <row r="162" spans="1:15" x14ac:dyDescent="0.2">
      <c r="A162" s="4" t="s">
        <v>454</v>
      </c>
      <c r="B162" s="4" t="s">
        <v>358</v>
      </c>
      <c r="C162" s="4" t="s">
        <v>46</v>
      </c>
      <c r="D162" s="4" t="s">
        <v>93</v>
      </c>
      <c r="E162" s="4" t="s">
        <v>93</v>
      </c>
      <c r="F162" s="4" t="s">
        <v>93</v>
      </c>
      <c r="G162" s="4" t="s">
        <v>95</v>
      </c>
      <c r="H162" s="4" t="s">
        <v>33</v>
      </c>
      <c r="I162" s="4" t="s">
        <v>357</v>
      </c>
      <c r="J162" s="4"/>
      <c r="K162" s="4" t="s">
        <v>464</v>
      </c>
      <c r="L162" s="5" t="str">
        <f>IF(AND($K162&lt;&gt;"",Config!$B$2&lt;&gt;""), Config!$B$2 &amp; "?id=" &amp; $K162, "")</f>
        <v/>
      </c>
      <c r="M162" s="4"/>
      <c r="N162" s="4" t="str">
        <f t="shared" ca="1" si="2"/>
        <v/>
      </c>
      <c r="O162" s="4" t="s">
        <v>335</v>
      </c>
    </row>
    <row r="163" spans="1:15" x14ac:dyDescent="0.2">
      <c r="A163" s="4" t="s">
        <v>454</v>
      </c>
      <c r="B163" s="4" t="s">
        <v>359</v>
      </c>
      <c r="C163" s="4" t="s">
        <v>29</v>
      </c>
      <c r="D163" s="4" t="s">
        <v>93</v>
      </c>
      <c r="E163" s="4" t="s">
        <v>37</v>
      </c>
      <c r="F163" s="4" t="s">
        <v>37</v>
      </c>
      <c r="G163" s="4" t="s">
        <v>37</v>
      </c>
      <c r="H163" s="4" t="s">
        <v>37</v>
      </c>
      <c r="I163" s="4" t="s">
        <v>37</v>
      </c>
      <c r="J163" s="4"/>
      <c r="K163" s="4" t="s">
        <v>464</v>
      </c>
      <c r="L163" s="5" t="str">
        <f>IF(AND($K163&lt;&gt;"",Config!$B$2&lt;&gt;""), Config!$B$2 &amp; "?id=" &amp; $K163, "")</f>
        <v/>
      </c>
      <c r="M163" s="4"/>
      <c r="N163" s="4" t="str">
        <f t="shared" ca="1" si="2"/>
        <v/>
      </c>
      <c r="O163" s="4" t="s">
        <v>335</v>
      </c>
    </row>
    <row r="164" spans="1:15" x14ac:dyDescent="0.2">
      <c r="A164" s="4" t="s">
        <v>454</v>
      </c>
      <c r="B164" s="4" t="s">
        <v>360</v>
      </c>
      <c r="C164" s="4" t="s">
        <v>46</v>
      </c>
      <c r="D164" s="4" t="s">
        <v>93</v>
      </c>
      <c r="E164" s="4" t="s">
        <v>37</v>
      </c>
      <c r="F164" s="4" t="s">
        <v>37</v>
      </c>
      <c r="G164" s="4" t="s">
        <v>37</v>
      </c>
      <c r="H164" s="4" t="s">
        <v>37</v>
      </c>
      <c r="I164" s="4" t="s">
        <v>37</v>
      </c>
      <c r="J164" s="4"/>
      <c r="K164" s="4" t="s">
        <v>464</v>
      </c>
      <c r="L164" s="5" t="str">
        <f>IF(AND($K164&lt;&gt;"",Config!$B$2&lt;&gt;""), Config!$B$2 &amp; "?id=" &amp; $K164, "")</f>
        <v/>
      </c>
      <c r="M164" s="4"/>
      <c r="N164" s="4" t="str">
        <f t="shared" ca="1" si="2"/>
        <v/>
      </c>
      <c r="O164" s="4" t="s">
        <v>335</v>
      </c>
    </row>
    <row r="165" spans="1:15" x14ac:dyDescent="0.2">
      <c r="A165" s="4" t="s">
        <v>454</v>
      </c>
      <c r="B165" s="4" t="s">
        <v>361</v>
      </c>
      <c r="C165" s="4" t="s">
        <v>29</v>
      </c>
      <c r="D165" s="4" t="s">
        <v>93</v>
      </c>
      <c r="E165" s="4" t="s">
        <v>37</v>
      </c>
      <c r="F165" s="4" t="s">
        <v>37</v>
      </c>
      <c r="G165" s="4" t="s">
        <v>37</v>
      </c>
      <c r="H165" s="4" t="s">
        <v>37</v>
      </c>
      <c r="I165" s="4" t="s">
        <v>37</v>
      </c>
      <c r="J165" s="4"/>
      <c r="K165" s="4" t="s">
        <v>464</v>
      </c>
      <c r="L165" s="5" t="str">
        <f>IF(AND($K165&lt;&gt;"",Config!$B$2&lt;&gt;""), Config!$B$2 &amp; "?id=" &amp; $K165, "")</f>
        <v/>
      </c>
      <c r="M165" s="4"/>
      <c r="N165" s="4" t="str">
        <f t="shared" ca="1" si="2"/>
        <v/>
      </c>
      <c r="O165" s="4" t="s">
        <v>335</v>
      </c>
    </row>
    <row r="166" spans="1:15" x14ac:dyDescent="0.2">
      <c r="A166" s="4" t="s">
        <v>454</v>
      </c>
      <c r="B166" s="4" t="s">
        <v>362</v>
      </c>
      <c r="C166" s="4" t="s">
        <v>363</v>
      </c>
      <c r="D166" s="4" t="s">
        <v>364</v>
      </c>
      <c r="E166" s="4" t="s">
        <v>37</v>
      </c>
      <c r="F166" s="4" t="s">
        <v>37</v>
      </c>
      <c r="G166" s="4" t="s">
        <v>37</v>
      </c>
      <c r="H166" s="4" t="s">
        <v>37</v>
      </c>
      <c r="I166" s="4" t="s">
        <v>37</v>
      </c>
      <c r="J166" s="4"/>
      <c r="K166" s="4" t="s">
        <v>464</v>
      </c>
      <c r="L166" s="5" t="str">
        <f>IF(AND($K166&lt;&gt;"",Config!$B$2&lt;&gt;""), Config!$B$2 &amp; "?id=" &amp; $K166, "")</f>
        <v/>
      </c>
      <c r="M166" s="4"/>
      <c r="N166" s="4" t="str">
        <f t="shared" ca="1" si="2"/>
        <v/>
      </c>
      <c r="O166" s="4" t="s">
        <v>335</v>
      </c>
    </row>
    <row r="167" spans="1:15" x14ac:dyDescent="0.2">
      <c r="A167" s="4" t="s">
        <v>454</v>
      </c>
      <c r="B167" s="4" t="s">
        <v>365</v>
      </c>
      <c r="C167" s="4" t="s">
        <v>329</v>
      </c>
      <c r="D167" s="4" t="s">
        <v>30</v>
      </c>
      <c r="E167" s="4" t="s">
        <v>152</v>
      </c>
      <c r="F167" s="4" t="s">
        <v>152</v>
      </c>
      <c r="G167" s="4" t="s">
        <v>152</v>
      </c>
      <c r="H167" s="4" t="s">
        <v>173</v>
      </c>
      <c r="I167" s="4" t="s">
        <v>366</v>
      </c>
      <c r="J167" s="4"/>
      <c r="K167" s="4" t="s">
        <v>464</v>
      </c>
      <c r="L167" s="5" t="str">
        <f>IF(AND($K167&lt;&gt;"",Config!$B$2&lt;&gt;""), Config!$B$2 &amp; "?id=" &amp; $K167, "")</f>
        <v/>
      </c>
      <c r="M167" s="4"/>
      <c r="N167" s="4" t="str">
        <f t="shared" ca="1" si="2"/>
        <v/>
      </c>
      <c r="O167" s="4" t="s">
        <v>335</v>
      </c>
    </row>
    <row r="168" spans="1:15" x14ac:dyDescent="0.2">
      <c r="A168" s="4" t="s">
        <v>454</v>
      </c>
      <c r="B168" s="4" t="s">
        <v>367</v>
      </c>
      <c r="C168" s="4" t="s">
        <v>180</v>
      </c>
      <c r="D168" s="4" t="s">
        <v>30</v>
      </c>
      <c r="E168" s="4" t="s">
        <v>37</v>
      </c>
      <c r="F168" s="4" t="s">
        <v>37</v>
      </c>
      <c r="G168" s="4" t="s">
        <v>37</v>
      </c>
      <c r="H168" s="4" t="s">
        <v>37</v>
      </c>
      <c r="I168" s="4" t="s">
        <v>37</v>
      </c>
      <c r="J168" s="4"/>
      <c r="K168" s="4" t="s">
        <v>464</v>
      </c>
      <c r="L168" s="5" t="str">
        <f>IF(AND($K168&lt;&gt;"",Config!$B$2&lt;&gt;""), Config!$B$2 &amp; "?id=" &amp; $K168, "")</f>
        <v/>
      </c>
      <c r="M168" s="4"/>
      <c r="N168" s="4" t="str">
        <f t="shared" ca="1" si="2"/>
        <v/>
      </c>
      <c r="O168" s="4" t="s">
        <v>335</v>
      </c>
    </row>
    <row r="169" spans="1:15" x14ac:dyDescent="0.2">
      <c r="A169" s="4" t="s">
        <v>454</v>
      </c>
      <c r="B169" s="4" t="s">
        <v>368</v>
      </c>
      <c r="C169" s="4" t="s">
        <v>92</v>
      </c>
      <c r="D169" s="4" t="s">
        <v>30</v>
      </c>
      <c r="E169" s="4" t="s">
        <v>152</v>
      </c>
      <c r="F169" s="4" t="s">
        <v>152</v>
      </c>
      <c r="G169" s="4" t="s">
        <v>152</v>
      </c>
      <c r="H169" s="4" t="s">
        <v>173</v>
      </c>
      <c r="I169" s="4" t="s">
        <v>366</v>
      </c>
      <c r="J169" s="4"/>
      <c r="K169" s="4" t="s">
        <v>464</v>
      </c>
      <c r="L169" s="5" t="str">
        <f>IF(AND($K169&lt;&gt;"",Config!$B$2&lt;&gt;""), Config!$B$2 &amp; "?id=" &amp; $K169, "")</f>
        <v/>
      </c>
      <c r="M169" s="4"/>
      <c r="N169" s="4" t="str">
        <f t="shared" ca="1" si="2"/>
        <v/>
      </c>
      <c r="O169" s="4" t="s">
        <v>335</v>
      </c>
    </row>
    <row r="170" spans="1:15" x14ac:dyDescent="0.2">
      <c r="A170" s="4" t="s">
        <v>454</v>
      </c>
      <c r="B170" s="4" t="s">
        <v>369</v>
      </c>
      <c r="C170" s="4" t="s">
        <v>46</v>
      </c>
      <c r="D170" s="4" t="s">
        <v>30</v>
      </c>
      <c r="E170" s="4" t="s">
        <v>152</v>
      </c>
      <c r="F170" s="4" t="s">
        <v>152</v>
      </c>
      <c r="G170" s="4" t="s">
        <v>152</v>
      </c>
      <c r="H170" s="4" t="s">
        <v>173</v>
      </c>
      <c r="I170" s="4" t="s">
        <v>366</v>
      </c>
      <c r="J170" s="4"/>
      <c r="K170" s="4" t="s">
        <v>464</v>
      </c>
      <c r="L170" s="5" t="str">
        <f>IF(AND($K170&lt;&gt;"",Config!$B$2&lt;&gt;""), Config!$B$2 &amp; "?id=" &amp; $K170, "")</f>
        <v/>
      </c>
      <c r="M170" s="4"/>
      <c r="N170" s="4" t="str">
        <f t="shared" ca="1" si="2"/>
        <v/>
      </c>
      <c r="O170" s="4" t="s">
        <v>335</v>
      </c>
    </row>
    <row r="171" spans="1:15" x14ac:dyDescent="0.2">
      <c r="A171" s="4" t="s">
        <v>454</v>
      </c>
      <c r="B171" s="4" t="s">
        <v>370</v>
      </c>
      <c r="C171" s="4" t="s">
        <v>29</v>
      </c>
      <c r="D171" s="4" t="s">
        <v>30</v>
      </c>
      <c r="E171" s="4" t="s">
        <v>152</v>
      </c>
      <c r="F171" s="4" t="s">
        <v>152</v>
      </c>
      <c r="G171" s="4" t="s">
        <v>152</v>
      </c>
      <c r="H171" s="4" t="s">
        <v>173</v>
      </c>
      <c r="I171" s="4" t="s">
        <v>366</v>
      </c>
      <c r="J171" s="4"/>
      <c r="K171" s="4" t="s">
        <v>464</v>
      </c>
      <c r="L171" s="5" t="str">
        <f>IF(AND($K171&lt;&gt;"",Config!$B$2&lt;&gt;""), Config!$B$2 &amp; "?id=" &amp; $K171, "")</f>
        <v/>
      </c>
      <c r="M171" s="4"/>
      <c r="N171" s="4" t="str">
        <f t="shared" ca="1" si="2"/>
        <v/>
      </c>
      <c r="O171" s="4" t="s">
        <v>335</v>
      </c>
    </row>
    <row r="172" spans="1:15" x14ac:dyDescent="0.2">
      <c r="A172" s="4" t="s">
        <v>454</v>
      </c>
      <c r="B172" s="4" t="s">
        <v>371</v>
      </c>
      <c r="C172" s="4" t="s">
        <v>29</v>
      </c>
      <c r="D172" s="4" t="s">
        <v>30</v>
      </c>
      <c r="E172" s="4" t="s">
        <v>37</v>
      </c>
      <c r="F172" s="4" t="s">
        <v>37</v>
      </c>
      <c r="G172" s="4" t="s">
        <v>37</v>
      </c>
      <c r="H172" s="4" t="s">
        <v>37</v>
      </c>
      <c r="I172" s="4" t="s">
        <v>37</v>
      </c>
      <c r="J172" s="4"/>
      <c r="K172" s="4" t="s">
        <v>463</v>
      </c>
      <c r="L172" s="5" t="str">
        <f>IF(AND($K172&lt;&gt;"",Config!$B$2&lt;&gt;""), Config!$B$2 &amp; "?id=" &amp; $K172, "")</f>
        <v/>
      </c>
      <c r="M172" s="4"/>
      <c r="N172" s="4" t="str">
        <f t="shared" ca="1" si="2"/>
        <v/>
      </c>
      <c r="O172" s="4" t="s">
        <v>372</v>
      </c>
    </row>
    <row r="173" spans="1:15" x14ac:dyDescent="0.2">
      <c r="A173" s="4" t="s">
        <v>454</v>
      </c>
      <c r="B173" s="4" t="s">
        <v>373</v>
      </c>
      <c r="C173" s="4" t="s">
        <v>71</v>
      </c>
      <c r="D173" s="4" t="s">
        <v>30</v>
      </c>
      <c r="E173" s="4" t="s">
        <v>37</v>
      </c>
      <c r="F173" s="4" t="s">
        <v>37</v>
      </c>
      <c r="G173" s="4" t="s">
        <v>37</v>
      </c>
      <c r="H173" s="4" t="s">
        <v>37</v>
      </c>
      <c r="I173" s="4" t="s">
        <v>37</v>
      </c>
      <c r="J173" s="4"/>
      <c r="K173" s="4" t="s">
        <v>463</v>
      </c>
      <c r="L173" s="5" t="str">
        <f>IF(AND($K173&lt;&gt;"",Config!$B$2&lt;&gt;""), Config!$B$2 &amp; "?id=" &amp; $K173, "")</f>
        <v/>
      </c>
      <c r="M173" s="4"/>
      <c r="N173" s="4" t="str">
        <f t="shared" ca="1" si="2"/>
        <v/>
      </c>
      <c r="O173" s="4" t="s">
        <v>372</v>
      </c>
    </row>
    <row r="174" spans="1:15" x14ac:dyDescent="0.2">
      <c r="A174" s="4" t="s">
        <v>454</v>
      </c>
      <c r="B174" s="4" t="s">
        <v>374</v>
      </c>
      <c r="C174" s="4" t="s">
        <v>29</v>
      </c>
      <c r="D174" s="4" t="s">
        <v>30</v>
      </c>
      <c r="E174" s="4" t="s">
        <v>37</v>
      </c>
      <c r="F174" s="4" t="s">
        <v>37</v>
      </c>
      <c r="G174" s="4" t="s">
        <v>37</v>
      </c>
      <c r="H174" s="4" t="s">
        <v>37</v>
      </c>
      <c r="I174" s="4" t="s">
        <v>37</v>
      </c>
      <c r="J174" s="4"/>
      <c r="K174" s="4" t="s">
        <v>463</v>
      </c>
      <c r="L174" s="5" t="str">
        <f>IF(AND($K174&lt;&gt;"",Config!$B$2&lt;&gt;""), Config!$B$2 &amp; "?id=" &amp; $K174, "")</f>
        <v/>
      </c>
      <c r="M174" s="4"/>
      <c r="N174" s="4" t="str">
        <f t="shared" ca="1" si="2"/>
        <v/>
      </c>
      <c r="O174" s="4" t="s">
        <v>372</v>
      </c>
    </row>
    <row r="175" spans="1:15" x14ac:dyDescent="0.2">
      <c r="A175" s="4" t="s">
        <v>454</v>
      </c>
      <c r="B175" s="4" t="s">
        <v>375</v>
      </c>
      <c r="C175" s="4" t="s">
        <v>29</v>
      </c>
      <c r="D175" s="4" t="s">
        <v>30</v>
      </c>
      <c r="E175" s="4" t="s">
        <v>37</v>
      </c>
      <c r="F175" s="4" t="s">
        <v>37</v>
      </c>
      <c r="G175" s="4" t="s">
        <v>37</v>
      </c>
      <c r="H175" s="4" t="s">
        <v>37</v>
      </c>
      <c r="I175" s="4" t="s">
        <v>37</v>
      </c>
      <c r="J175" s="4"/>
      <c r="K175" s="4" t="s">
        <v>463</v>
      </c>
      <c r="L175" s="5" t="str">
        <f>IF(AND($K175&lt;&gt;"",Config!$B$2&lt;&gt;""), Config!$B$2 &amp; "?id=" &amp; $K175, "")</f>
        <v/>
      </c>
      <c r="M175" s="4"/>
      <c r="N175" s="4" t="str">
        <f t="shared" ca="1" si="2"/>
        <v/>
      </c>
      <c r="O175" s="4" t="s">
        <v>372</v>
      </c>
    </row>
    <row r="176" spans="1:15" x14ac:dyDescent="0.2">
      <c r="A176" s="4" t="s">
        <v>454</v>
      </c>
      <c r="B176" s="4" t="s">
        <v>376</v>
      </c>
      <c r="C176" s="4" t="s">
        <v>92</v>
      </c>
      <c r="D176" s="4" t="s">
        <v>30</v>
      </c>
      <c r="E176" s="4" t="s">
        <v>37</v>
      </c>
      <c r="F176" s="4" t="s">
        <v>37</v>
      </c>
      <c r="G176" s="4" t="s">
        <v>37</v>
      </c>
      <c r="H176" s="4" t="s">
        <v>37</v>
      </c>
      <c r="I176" s="4" t="s">
        <v>37</v>
      </c>
      <c r="J176" s="4"/>
      <c r="K176" s="4" t="s">
        <v>463</v>
      </c>
      <c r="L176" s="5" t="str">
        <f>IF(AND($K176&lt;&gt;"",Config!$B$2&lt;&gt;""), Config!$B$2 &amp; "?id=" &amp; $K176, "")</f>
        <v/>
      </c>
      <c r="M176" s="4"/>
      <c r="N176" s="4" t="str">
        <f t="shared" ca="1" si="2"/>
        <v/>
      </c>
      <c r="O176" s="4" t="s">
        <v>372</v>
      </c>
    </row>
    <row r="177" spans="1:15" x14ac:dyDescent="0.2">
      <c r="A177" s="4" t="s">
        <v>454</v>
      </c>
      <c r="B177" s="4" t="s">
        <v>377</v>
      </c>
      <c r="C177" s="4" t="s">
        <v>46</v>
      </c>
      <c r="D177" s="4" t="s">
        <v>143</v>
      </c>
      <c r="E177" s="4" t="s">
        <v>72</v>
      </c>
      <c r="F177" s="4" t="s">
        <v>203</v>
      </c>
      <c r="G177" s="4" t="s">
        <v>30</v>
      </c>
      <c r="H177" s="4" t="s">
        <v>76</v>
      </c>
      <c r="I177" s="4" t="s">
        <v>378</v>
      </c>
      <c r="J177" s="4"/>
      <c r="K177" s="4" t="s">
        <v>462</v>
      </c>
      <c r="L177" s="5" t="str">
        <f>IF(AND($K177&lt;&gt;"",Config!$B$2&lt;&gt;""), Config!$B$2 &amp; "?id=" &amp; $K177, "")</f>
        <v/>
      </c>
      <c r="M177" s="4"/>
      <c r="N177" s="4" t="str">
        <f t="shared" ca="1" si="2"/>
        <v/>
      </c>
      <c r="O177" s="4" t="s">
        <v>379</v>
      </c>
    </row>
    <row r="178" spans="1:15" x14ac:dyDescent="0.2">
      <c r="A178" s="4" t="s">
        <v>454</v>
      </c>
      <c r="B178" s="4" t="s">
        <v>380</v>
      </c>
      <c r="C178" s="4" t="s">
        <v>29</v>
      </c>
      <c r="D178" s="4" t="s">
        <v>143</v>
      </c>
      <c r="E178" s="4" t="s">
        <v>239</v>
      </c>
      <c r="F178" s="4" t="s">
        <v>203</v>
      </c>
      <c r="G178" s="4" t="s">
        <v>160</v>
      </c>
      <c r="H178" s="4" t="s">
        <v>33</v>
      </c>
      <c r="I178" s="4" t="s">
        <v>381</v>
      </c>
      <c r="J178" s="4"/>
      <c r="K178" s="4" t="s">
        <v>462</v>
      </c>
      <c r="L178" s="5" t="str">
        <f>IF(AND($K178&lt;&gt;"",Config!$B$2&lt;&gt;""), Config!$B$2 &amp; "?id=" &amp; $K178, "")</f>
        <v/>
      </c>
      <c r="M178" s="4"/>
      <c r="N178" s="4" t="str">
        <f t="shared" ca="1" si="2"/>
        <v/>
      </c>
      <c r="O178" s="4" t="s">
        <v>379</v>
      </c>
    </row>
    <row r="179" spans="1:15" x14ac:dyDescent="0.2">
      <c r="A179" s="4" t="s">
        <v>454</v>
      </c>
      <c r="B179" s="4" t="s">
        <v>382</v>
      </c>
      <c r="C179" s="4" t="s">
        <v>383</v>
      </c>
      <c r="D179" s="4" t="s">
        <v>30</v>
      </c>
      <c r="E179" s="4" t="s">
        <v>384</v>
      </c>
      <c r="F179" s="4" t="s">
        <v>30</v>
      </c>
      <c r="G179" s="4" t="s">
        <v>30</v>
      </c>
      <c r="H179" s="4" t="s">
        <v>33</v>
      </c>
      <c r="I179" s="4" t="s">
        <v>280</v>
      </c>
      <c r="J179" s="4"/>
      <c r="K179" s="4" t="s">
        <v>462</v>
      </c>
      <c r="L179" s="5" t="str">
        <f>IF(AND($K179&lt;&gt;"",Config!$B$2&lt;&gt;""), Config!$B$2 &amp; "?id=" &amp; $K179, "")</f>
        <v/>
      </c>
      <c r="M179" s="4"/>
      <c r="N179" s="4" t="str">
        <f t="shared" ca="1" si="2"/>
        <v/>
      </c>
      <c r="O179" s="4" t="s">
        <v>379</v>
      </c>
    </row>
    <row r="180" spans="1:15" x14ac:dyDescent="0.2">
      <c r="A180" s="4" t="s">
        <v>454</v>
      </c>
      <c r="B180" s="4" t="s">
        <v>385</v>
      </c>
      <c r="C180" s="4" t="s">
        <v>46</v>
      </c>
      <c r="D180" s="4" t="s">
        <v>143</v>
      </c>
      <c r="E180" s="4" t="s">
        <v>172</v>
      </c>
      <c r="F180" s="4" t="s">
        <v>203</v>
      </c>
      <c r="G180" s="4" t="s">
        <v>30</v>
      </c>
      <c r="H180" s="4" t="s">
        <v>173</v>
      </c>
      <c r="I180" s="4" t="s">
        <v>176</v>
      </c>
      <c r="J180" s="4"/>
      <c r="K180" s="4" t="s">
        <v>462</v>
      </c>
      <c r="L180" s="5" t="str">
        <f>IF(AND($K180&lt;&gt;"",Config!$B$2&lt;&gt;""), Config!$B$2 &amp; "?id=" &amp; $K180, "")</f>
        <v/>
      </c>
      <c r="M180" s="4"/>
      <c r="N180" s="4" t="str">
        <f t="shared" ca="1" si="2"/>
        <v/>
      </c>
      <c r="O180" s="4" t="s">
        <v>379</v>
      </c>
    </row>
    <row r="181" spans="1:15" x14ac:dyDescent="0.2">
      <c r="A181" s="4" t="s">
        <v>454</v>
      </c>
      <c r="B181" s="4" t="s">
        <v>386</v>
      </c>
      <c r="C181" s="4" t="s">
        <v>29</v>
      </c>
      <c r="D181" s="4" t="s">
        <v>143</v>
      </c>
      <c r="E181" s="4" t="s">
        <v>31</v>
      </c>
      <c r="F181" s="4" t="s">
        <v>203</v>
      </c>
      <c r="G181" s="4" t="s">
        <v>30</v>
      </c>
      <c r="H181" s="4" t="s">
        <v>62</v>
      </c>
      <c r="I181" s="4" t="s">
        <v>387</v>
      </c>
      <c r="J181" s="4"/>
      <c r="K181" s="4" t="s">
        <v>462</v>
      </c>
      <c r="L181" s="5" t="str">
        <f>IF(AND($K181&lt;&gt;"",Config!$B$2&lt;&gt;""), Config!$B$2 &amp; "?id=" &amp; $K181, "")</f>
        <v/>
      </c>
      <c r="M181" s="4"/>
      <c r="N181" s="4" t="str">
        <f t="shared" ca="1" si="2"/>
        <v/>
      </c>
      <c r="O181" s="4" t="s">
        <v>379</v>
      </c>
    </row>
    <row r="182" spans="1:15" x14ac:dyDescent="0.2">
      <c r="A182" s="4" t="s">
        <v>454</v>
      </c>
      <c r="B182" s="4" t="s">
        <v>388</v>
      </c>
      <c r="C182" s="4" t="s">
        <v>46</v>
      </c>
      <c r="D182" s="4" t="s">
        <v>143</v>
      </c>
      <c r="E182" s="4" t="s">
        <v>389</v>
      </c>
      <c r="F182" s="4" t="s">
        <v>203</v>
      </c>
      <c r="G182" s="4" t="s">
        <v>160</v>
      </c>
      <c r="H182" s="4" t="s">
        <v>76</v>
      </c>
      <c r="I182" s="4" t="s">
        <v>246</v>
      </c>
      <c r="J182" s="4"/>
      <c r="K182" s="4" t="s">
        <v>462</v>
      </c>
      <c r="L182" s="5" t="str">
        <f>IF(AND($K182&lt;&gt;"",Config!$B$2&lt;&gt;""), Config!$B$2 &amp; "?id=" &amp; $K182, "")</f>
        <v/>
      </c>
      <c r="M182" s="4"/>
      <c r="N182" s="4" t="str">
        <f t="shared" ca="1" si="2"/>
        <v/>
      </c>
      <c r="O182" s="4" t="s">
        <v>379</v>
      </c>
    </row>
    <row r="183" spans="1:15" x14ac:dyDescent="0.2">
      <c r="A183" s="4" t="s">
        <v>454</v>
      </c>
      <c r="B183" s="4" t="s">
        <v>390</v>
      </c>
      <c r="C183" s="4" t="s">
        <v>39</v>
      </c>
      <c r="D183" s="4" t="s">
        <v>143</v>
      </c>
      <c r="E183" s="4" t="s">
        <v>389</v>
      </c>
      <c r="F183" s="4" t="s">
        <v>203</v>
      </c>
      <c r="G183" s="4" t="s">
        <v>160</v>
      </c>
      <c r="H183" s="4" t="s">
        <v>76</v>
      </c>
      <c r="I183" s="4" t="s">
        <v>246</v>
      </c>
      <c r="J183" s="4"/>
      <c r="K183" s="4" t="s">
        <v>462</v>
      </c>
      <c r="L183" s="5" t="str">
        <f>IF(AND($K183&lt;&gt;"",Config!$B$2&lt;&gt;""), Config!$B$2 &amp; "?id=" &amp; $K183, "")</f>
        <v/>
      </c>
      <c r="M183" s="4"/>
      <c r="N183" s="4" t="str">
        <f t="shared" ca="1" si="2"/>
        <v/>
      </c>
      <c r="O183" s="4" t="s">
        <v>379</v>
      </c>
    </row>
    <row r="184" spans="1:15" x14ac:dyDescent="0.2">
      <c r="A184" s="4" t="s">
        <v>454</v>
      </c>
      <c r="B184" s="4" t="s">
        <v>391</v>
      </c>
      <c r="C184" s="4" t="s">
        <v>126</v>
      </c>
      <c r="D184" s="4" t="s">
        <v>114</v>
      </c>
      <c r="E184" s="4" t="s">
        <v>115</v>
      </c>
      <c r="F184" s="4" t="s">
        <v>115</v>
      </c>
      <c r="G184" s="4" t="s">
        <v>115</v>
      </c>
      <c r="H184" s="4" t="s">
        <v>76</v>
      </c>
      <c r="I184" s="4" t="s">
        <v>392</v>
      </c>
      <c r="J184" s="4"/>
      <c r="K184" s="4" t="s">
        <v>461</v>
      </c>
      <c r="L184" s="5" t="str">
        <f>IF(AND($K184&lt;&gt;"",Config!$B$2&lt;&gt;""), Config!$B$2 &amp; "?id=" &amp; $K184, "")</f>
        <v/>
      </c>
      <c r="M184" s="4"/>
      <c r="N184" s="4" t="str">
        <f t="shared" ca="1" si="2"/>
        <v/>
      </c>
      <c r="O184" s="4" t="s">
        <v>393</v>
      </c>
    </row>
    <row r="185" spans="1:15" x14ac:dyDescent="0.2">
      <c r="A185" s="4" t="s">
        <v>454</v>
      </c>
      <c r="B185" s="4" t="s">
        <v>394</v>
      </c>
      <c r="C185" s="4" t="s">
        <v>46</v>
      </c>
      <c r="D185" s="4" t="s">
        <v>30</v>
      </c>
      <c r="E185" s="4" t="s">
        <v>239</v>
      </c>
      <c r="F185" s="4" t="s">
        <v>30</v>
      </c>
      <c r="G185" s="4" t="s">
        <v>30</v>
      </c>
      <c r="H185" s="4" t="s">
        <v>33</v>
      </c>
      <c r="I185" s="4" t="s">
        <v>395</v>
      </c>
      <c r="J185" s="4"/>
      <c r="K185" s="4" t="s">
        <v>460</v>
      </c>
      <c r="L185" s="5" t="str">
        <f>IF(AND($K185&lt;&gt;"",Config!$B$2&lt;&gt;""), Config!$B$2 &amp; "?id=" &amp; $K185, "")</f>
        <v/>
      </c>
      <c r="M185" s="4"/>
      <c r="N185" s="4" t="str">
        <f t="shared" ca="1" si="2"/>
        <v/>
      </c>
      <c r="O185" s="4" t="s">
        <v>396</v>
      </c>
    </row>
    <row r="186" spans="1:15" x14ac:dyDescent="0.2">
      <c r="A186" s="4" t="s">
        <v>454</v>
      </c>
      <c r="B186" s="4" t="s">
        <v>397</v>
      </c>
      <c r="C186" s="4" t="s">
        <v>318</v>
      </c>
      <c r="D186" s="4" t="s">
        <v>30</v>
      </c>
      <c r="E186" s="4" t="s">
        <v>239</v>
      </c>
      <c r="F186" s="4" t="s">
        <v>30</v>
      </c>
      <c r="G186" s="4" t="s">
        <v>30</v>
      </c>
      <c r="H186" s="4" t="s">
        <v>33</v>
      </c>
      <c r="I186" s="4" t="s">
        <v>395</v>
      </c>
      <c r="J186" s="4"/>
      <c r="K186" s="4" t="s">
        <v>460</v>
      </c>
      <c r="L186" s="5" t="str">
        <f>IF(AND($K186&lt;&gt;"",Config!$B$2&lt;&gt;""), Config!$B$2 &amp; "?id=" &amp; $K186, "")</f>
        <v/>
      </c>
      <c r="M186" s="4"/>
      <c r="N186" s="4" t="str">
        <f t="shared" ca="1" si="2"/>
        <v/>
      </c>
      <c r="O186" s="4" t="s">
        <v>396</v>
      </c>
    </row>
    <row r="187" spans="1:15" x14ac:dyDescent="0.2">
      <c r="A187" s="4" t="s">
        <v>454</v>
      </c>
      <c r="B187" s="4" t="s">
        <v>398</v>
      </c>
      <c r="C187" s="4" t="s">
        <v>29</v>
      </c>
      <c r="D187" s="4" t="s">
        <v>30</v>
      </c>
      <c r="E187" s="4" t="s">
        <v>239</v>
      </c>
      <c r="F187" s="4" t="s">
        <v>30</v>
      </c>
      <c r="G187" s="4" t="s">
        <v>30</v>
      </c>
      <c r="H187" s="4" t="s">
        <v>33</v>
      </c>
      <c r="I187" s="4" t="s">
        <v>395</v>
      </c>
      <c r="J187" s="4"/>
      <c r="K187" s="4" t="s">
        <v>460</v>
      </c>
      <c r="L187" s="5" t="str">
        <f>IF(AND($K187&lt;&gt;"",Config!$B$2&lt;&gt;""), Config!$B$2 &amp; "?id=" &amp; $K187, "")</f>
        <v/>
      </c>
      <c r="M187" s="4"/>
      <c r="N187" s="4" t="str">
        <f t="shared" ca="1" si="2"/>
        <v/>
      </c>
      <c r="O187" s="4" t="s">
        <v>396</v>
      </c>
    </row>
    <row r="188" spans="1:15" x14ac:dyDescent="0.2">
      <c r="A188" s="4" t="s">
        <v>454</v>
      </c>
      <c r="B188" s="4" t="s">
        <v>399</v>
      </c>
      <c r="C188" s="4" t="s">
        <v>400</v>
      </c>
      <c r="D188" s="4" t="s">
        <v>93</v>
      </c>
      <c r="E188" s="4" t="s">
        <v>164</v>
      </c>
      <c r="F188" s="4" t="s">
        <v>93</v>
      </c>
      <c r="G188" s="4" t="s">
        <v>30</v>
      </c>
      <c r="H188" s="4" t="s">
        <v>33</v>
      </c>
      <c r="I188" s="4" t="s">
        <v>254</v>
      </c>
      <c r="J188" s="4"/>
      <c r="K188" s="4" t="s">
        <v>460</v>
      </c>
      <c r="L188" s="5" t="str">
        <f>IF(AND($K188&lt;&gt;"",Config!$B$2&lt;&gt;""), Config!$B$2 &amp; "?id=" &amp; $K188, "")</f>
        <v/>
      </c>
      <c r="M188" s="4"/>
      <c r="N188" s="4" t="str">
        <f t="shared" ca="1" si="2"/>
        <v/>
      </c>
      <c r="O188" s="4" t="s">
        <v>396</v>
      </c>
    </row>
    <row r="189" spans="1:15" x14ac:dyDescent="0.2">
      <c r="A189" s="4" t="s">
        <v>454</v>
      </c>
      <c r="B189" s="4" t="s">
        <v>401</v>
      </c>
      <c r="C189" s="4" t="s">
        <v>46</v>
      </c>
      <c r="D189" s="4" t="s">
        <v>93</v>
      </c>
      <c r="E189" s="4" t="s">
        <v>164</v>
      </c>
      <c r="F189" s="4" t="s">
        <v>93</v>
      </c>
      <c r="G189" s="4" t="s">
        <v>30</v>
      </c>
      <c r="H189" s="4" t="s">
        <v>33</v>
      </c>
      <c r="I189" s="4" t="s">
        <v>254</v>
      </c>
      <c r="J189" s="4"/>
      <c r="K189" s="4" t="s">
        <v>460</v>
      </c>
      <c r="L189" s="5" t="str">
        <f>IF(AND($K189&lt;&gt;"",Config!$B$2&lt;&gt;""), Config!$B$2 &amp; "?id=" &amp; $K189, "")</f>
        <v/>
      </c>
      <c r="M189" s="4"/>
      <c r="N189" s="4" t="str">
        <f t="shared" ca="1" si="2"/>
        <v/>
      </c>
      <c r="O189" s="4" t="s">
        <v>396</v>
      </c>
    </row>
    <row r="190" spans="1:15" x14ac:dyDescent="0.2">
      <c r="A190" s="4" t="s">
        <v>454</v>
      </c>
      <c r="B190" s="4" t="s">
        <v>402</v>
      </c>
      <c r="C190" s="4" t="s">
        <v>48</v>
      </c>
      <c r="D190" s="4" t="s">
        <v>93</v>
      </c>
      <c r="E190" s="4" t="s">
        <v>164</v>
      </c>
      <c r="F190" s="4" t="s">
        <v>93</v>
      </c>
      <c r="G190" s="4" t="s">
        <v>30</v>
      </c>
      <c r="H190" s="4" t="s">
        <v>33</v>
      </c>
      <c r="I190" s="4" t="s">
        <v>254</v>
      </c>
      <c r="J190" s="4"/>
      <c r="K190" s="4" t="s">
        <v>460</v>
      </c>
      <c r="L190" s="5" t="str">
        <f>IF(AND($K190&lt;&gt;"",Config!$B$2&lt;&gt;""), Config!$B$2 &amp; "?id=" &amp; $K190, "")</f>
        <v/>
      </c>
      <c r="M190" s="4"/>
      <c r="N190" s="4" t="str">
        <f t="shared" ca="1" si="2"/>
        <v/>
      </c>
      <c r="O190" s="4" t="s">
        <v>396</v>
      </c>
    </row>
    <row r="191" spans="1:15" x14ac:dyDescent="0.2">
      <c r="A191" s="4" t="s">
        <v>454</v>
      </c>
      <c r="B191" s="4" t="s">
        <v>403</v>
      </c>
      <c r="C191" s="4" t="s">
        <v>126</v>
      </c>
      <c r="D191" s="4" t="s">
        <v>30</v>
      </c>
      <c r="E191" s="4" t="s">
        <v>239</v>
      </c>
      <c r="F191" s="4" t="s">
        <v>30</v>
      </c>
      <c r="G191" s="4" t="s">
        <v>30</v>
      </c>
      <c r="H191" s="4" t="s">
        <v>33</v>
      </c>
      <c r="I191" s="4" t="s">
        <v>404</v>
      </c>
      <c r="J191" s="4"/>
      <c r="K191" s="4" t="s">
        <v>460</v>
      </c>
      <c r="L191" s="5" t="str">
        <f>IF(AND($K191&lt;&gt;"",Config!$B$2&lt;&gt;""), Config!$B$2 &amp; "?id=" &amp; $K191, "")</f>
        <v/>
      </c>
      <c r="M191" s="4"/>
      <c r="N191" s="4" t="str">
        <f t="shared" ca="1" si="2"/>
        <v/>
      </c>
      <c r="O191" s="4" t="s">
        <v>396</v>
      </c>
    </row>
    <row r="192" spans="1:15" x14ac:dyDescent="0.2">
      <c r="A192" s="4" t="s">
        <v>454</v>
      </c>
      <c r="B192" s="4" t="s">
        <v>405</v>
      </c>
      <c r="C192" s="4" t="s">
        <v>46</v>
      </c>
      <c r="D192" s="4" t="s">
        <v>30</v>
      </c>
      <c r="E192" s="4" t="s">
        <v>239</v>
      </c>
      <c r="F192" s="4" t="s">
        <v>30</v>
      </c>
      <c r="G192" s="4" t="s">
        <v>30</v>
      </c>
      <c r="H192" s="4" t="s">
        <v>33</v>
      </c>
      <c r="I192" s="4" t="s">
        <v>404</v>
      </c>
      <c r="J192" s="4"/>
      <c r="K192" s="4" t="s">
        <v>460</v>
      </c>
      <c r="L192" s="5" t="str">
        <f>IF(AND($K192&lt;&gt;"",Config!$B$2&lt;&gt;""), Config!$B$2 &amp; "?id=" &amp; $K192, "")</f>
        <v/>
      </c>
      <c r="M192" s="4"/>
      <c r="N192" s="4" t="str">
        <f t="shared" ca="1" si="2"/>
        <v/>
      </c>
      <c r="O192" s="4" t="s">
        <v>396</v>
      </c>
    </row>
    <row r="193" spans="1:15" x14ac:dyDescent="0.2">
      <c r="A193" s="4" t="s">
        <v>454</v>
      </c>
      <c r="B193" s="4" t="s">
        <v>406</v>
      </c>
      <c r="C193" s="4" t="s">
        <v>29</v>
      </c>
      <c r="D193" s="4" t="s">
        <v>30</v>
      </c>
      <c r="E193" s="4" t="s">
        <v>239</v>
      </c>
      <c r="F193" s="4" t="s">
        <v>30</v>
      </c>
      <c r="G193" s="4" t="s">
        <v>30</v>
      </c>
      <c r="H193" s="4" t="s">
        <v>33</v>
      </c>
      <c r="I193" s="4" t="s">
        <v>404</v>
      </c>
      <c r="J193" s="4"/>
      <c r="K193" s="4" t="s">
        <v>460</v>
      </c>
      <c r="L193" s="5" t="str">
        <f>IF(AND($K193&lt;&gt;"",Config!$B$2&lt;&gt;""), Config!$B$2 &amp; "?id=" &amp; $K193, "")</f>
        <v/>
      </c>
      <c r="M193" s="4"/>
      <c r="N193" s="4" t="str">
        <f t="shared" ca="1" si="2"/>
        <v/>
      </c>
      <c r="O193" s="4" t="s">
        <v>396</v>
      </c>
    </row>
    <row r="194" spans="1:15" x14ac:dyDescent="0.2">
      <c r="A194" s="4" t="s">
        <v>454</v>
      </c>
      <c r="B194" s="4" t="s">
        <v>407</v>
      </c>
      <c r="C194" s="4" t="s">
        <v>46</v>
      </c>
      <c r="D194" s="4" t="s">
        <v>30</v>
      </c>
      <c r="E194" s="4" t="s">
        <v>239</v>
      </c>
      <c r="F194" s="4" t="s">
        <v>30</v>
      </c>
      <c r="G194" s="4" t="s">
        <v>30</v>
      </c>
      <c r="H194" s="4" t="s">
        <v>76</v>
      </c>
      <c r="I194" s="4" t="s">
        <v>197</v>
      </c>
      <c r="J194" s="4"/>
      <c r="K194" s="4" t="s">
        <v>460</v>
      </c>
      <c r="L194" s="5" t="str">
        <f>IF(AND($K194&lt;&gt;"",Config!$B$2&lt;&gt;""), Config!$B$2 &amp; "?id=" &amp; $K194, "")</f>
        <v/>
      </c>
      <c r="M194" s="4"/>
      <c r="N194" s="4" t="str">
        <f t="shared" ref="N194:N221" ca="1" si="3">IF($L194&lt;&gt;"","https://api.qrserver.com/v1/create-qr-code/?size=200x200&amp;data=" &amp; SUBSTITUTE($L194," ","%20") &amp; "&amp;cb=" &amp; TEXT(NOW(),"yyyymmddhhmmss"),"")</f>
        <v/>
      </c>
      <c r="O194" s="4" t="s">
        <v>396</v>
      </c>
    </row>
    <row r="195" spans="1:15" x14ac:dyDescent="0.2">
      <c r="A195" s="4" t="s">
        <v>454</v>
      </c>
      <c r="B195" s="4" t="s">
        <v>408</v>
      </c>
      <c r="C195" s="4" t="s">
        <v>318</v>
      </c>
      <c r="D195" s="4" t="s">
        <v>30</v>
      </c>
      <c r="E195" s="4" t="s">
        <v>239</v>
      </c>
      <c r="F195" s="4" t="s">
        <v>30</v>
      </c>
      <c r="G195" s="4" t="s">
        <v>30</v>
      </c>
      <c r="H195" s="4" t="s">
        <v>76</v>
      </c>
      <c r="I195" s="4" t="s">
        <v>197</v>
      </c>
      <c r="J195" s="4"/>
      <c r="K195" s="4" t="s">
        <v>460</v>
      </c>
      <c r="L195" s="5" t="str">
        <f>IF(AND($K195&lt;&gt;"",Config!$B$2&lt;&gt;""), Config!$B$2 &amp; "?id=" &amp; $K195, "")</f>
        <v/>
      </c>
      <c r="M195" s="4"/>
      <c r="N195" s="4" t="str">
        <f t="shared" ca="1" si="3"/>
        <v/>
      </c>
      <c r="O195" s="4" t="s">
        <v>396</v>
      </c>
    </row>
    <row r="196" spans="1:15" x14ac:dyDescent="0.2">
      <c r="A196" s="4" t="s">
        <v>454</v>
      </c>
      <c r="B196" s="4" t="s">
        <v>409</v>
      </c>
      <c r="C196" s="4" t="s">
        <v>46</v>
      </c>
      <c r="D196" s="4" t="s">
        <v>93</v>
      </c>
      <c r="E196" s="4" t="s">
        <v>239</v>
      </c>
      <c r="F196" s="4" t="s">
        <v>93</v>
      </c>
      <c r="G196" s="4" t="s">
        <v>95</v>
      </c>
      <c r="H196" s="4" t="s">
        <v>76</v>
      </c>
      <c r="I196" s="4" t="s">
        <v>264</v>
      </c>
      <c r="J196" s="4"/>
      <c r="K196" s="4" t="s">
        <v>460</v>
      </c>
      <c r="L196" s="5" t="str">
        <f>IF(AND($K196&lt;&gt;"",Config!$B$2&lt;&gt;""), Config!$B$2 &amp; "?id=" &amp; $K196, "")</f>
        <v/>
      </c>
      <c r="M196" s="4"/>
      <c r="N196" s="4" t="str">
        <f t="shared" ca="1" si="3"/>
        <v/>
      </c>
      <c r="O196" s="4" t="s">
        <v>396</v>
      </c>
    </row>
    <row r="197" spans="1:15" x14ac:dyDescent="0.2">
      <c r="A197" s="4" t="s">
        <v>454</v>
      </c>
      <c r="B197" s="4" t="s">
        <v>410</v>
      </c>
      <c r="C197" s="4" t="s">
        <v>318</v>
      </c>
      <c r="D197" s="4" t="s">
        <v>93</v>
      </c>
      <c r="E197" s="4" t="s">
        <v>239</v>
      </c>
      <c r="F197" s="4" t="s">
        <v>93</v>
      </c>
      <c r="G197" s="4" t="s">
        <v>95</v>
      </c>
      <c r="H197" s="4" t="s">
        <v>76</v>
      </c>
      <c r="I197" s="4" t="s">
        <v>264</v>
      </c>
      <c r="J197" s="4"/>
      <c r="K197" s="4" t="s">
        <v>460</v>
      </c>
      <c r="L197" s="5" t="str">
        <f>IF(AND($K197&lt;&gt;"",Config!$B$2&lt;&gt;""), Config!$B$2 &amp; "?id=" &amp; $K197, "")</f>
        <v/>
      </c>
      <c r="M197" s="4"/>
      <c r="N197" s="4" t="str">
        <f t="shared" ca="1" si="3"/>
        <v/>
      </c>
      <c r="O197" s="4" t="s">
        <v>396</v>
      </c>
    </row>
    <row r="198" spans="1:15" x14ac:dyDescent="0.2">
      <c r="A198" s="4" t="s">
        <v>454</v>
      </c>
      <c r="B198" s="4" t="s">
        <v>411</v>
      </c>
      <c r="C198" s="4" t="s">
        <v>126</v>
      </c>
      <c r="D198" s="4" t="s">
        <v>93</v>
      </c>
      <c r="E198" s="4" t="s">
        <v>93</v>
      </c>
      <c r="F198" s="4" t="s">
        <v>93</v>
      </c>
      <c r="G198" s="4" t="s">
        <v>95</v>
      </c>
      <c r="H198" s="4" t="s">
        <v>76</v>
      </c>
      <c r="I198" s="4" t="s">
        <v>412</v>
      </c>
      <c r="J198" s="4"/>
      <c r="K198" s="4" t="s">
        <v>460</v>
      </c>
      <c r="L198" s="5" t="str">
        <f>IF(AND($K198&lt;&gt;"",Config!$B$2&lt;&gt;""), Config!$B$2 &amp; "?id=" &amp; $K198, "")</f>
        <v/>
      </c>
      <c r="M198" s="4"/>
      <c r="N198" s="4" t="str">
        <f t="shared" ca="1" si="3"/>
        <v/>
      </c>
      <c r="O198" s="4" t="s">
        <v>396</v>
      </c>
    </row>
    <row r="199" spans="1:15" x14ac:dyDescent="0.2">
      <c r="A199" s="4" t="s">
        <v>454</v>
      </c>
      <c r="B199" s="4" t="s">
        <v>413</v>
      </c>
      <c r="C199" s="4" t="s">
        <v>46</v>
      </c>
      <c r="D199" s="4" t="s">
        <v>93</v>
      </c>
      <c r="E199" s="4" t="s">
        <v>93</v>
      </c>
      <c r="F199" s="4" t="s">
        <v>93</v>
      </c>
      <c r="G199" s="4" t="s">
        <v>95</v>
      </c>
      <c r="H199" s="4" t="s">
        <v>76</v>
      </c>
      <c r="I199" s="4" t="s">
        <v>412</v>
      </c>
      <c r="J199" s="4"/>
      <c r="K199" s="4" t="s">
        <v>460</v>
      </c>
      <c r="L199" s="5" t="str">
        <f>IF(AND($K199&lt;&gt;"",Config!$B$2&lt;&gt;""), Config!$B$2 &amp; "?id=" &amp; $K199, "")</f>
        <v/>
      </c>
      <c r="M199" s="4"/>
      <c r="N199" s="4" t="str">
        <f t="shared" ca="1" si="3"/>
        <v/>
      </c>
      <c r="O199" s="4" t="s">
        <v>396</v>
      </c>
    </row>
    <row r="200" spans="1:15" x14ac:dyDescent="0.2">
      <c r="A200" s="4" t="s">
        <v>454</v>
      </c>
      <c r="B200" s="4" t="s">
        <v>414</v>
      </c>
      <c r="C200" s="4" t="s">
        <v>318</v>
      </c>
      <c r="D200" s="4" t="s">
        <v>93</v>
      </c>
      <c r="E200" s="4" t="s">
        <v>415</v>
      </c>
      <c r="F200" s="4" t="s">
        <v>93</v>
      </c>
      <c r="G200" s="4" t="s">
        <v>95</v>
      </c>
      <c r="H200" s="4" t="s">
        <v>33</v>
      </c>
      <c r="I200" s="4" t="s">
        <v>416</v>
      </c>
      <c r="J200" s="4"/>
      <c r="K200" s="4" t="s">
        <v>460</v>
      </c>
      <c r="L200" s="5" t="str">
        <f>IF(AND($K200&lt;&gt;"",Config!$B$2&lt;&gt;""), Config!$B$2 &amp; "?id=" &amp; $K200, "")</f>
        <v/>
      </c>
      <c r="M200" s="4"/>
      <c r="N200" s="4" t="str">
        <f t="shared" ca="1" si="3"/>
        <v/>
      </c>
      <c r="O200" s="4" t="s">
        <v>396</v>
      </c>
    </row>
    <row r="201" spans="1:15" x14ac:dyDescent="0.2">
      <c r="A201" s="4" t="s">
        <v>454</v>
      </c>
      <c r="B201" s="4" t="s">
        <v>417</v>
      </c>
      <c r="C201" s="4" t="s">
        <v>46</v>
      </c>
      <c r="D201" s="4" t="s">
        <v>30</v>
      </c>
      <c r="E201" s="4" t="s">
        <v>415</v>
      </c>
      <c r="F201" s="4" t="s">
        <v>30</v>
      </c>
      <c r="G201" s="4" t="s">
        <v>30</v>
      </c>
      <c r="H201" s="4" t="s">
        <v>62</v>
      </c>
      <c r="I201" s="4" t="s">
        <v>168</v>
      </c>
      <c r="J201" s="4"/>
      <c r="K201" s="4" t="s">
        <v>460</v>
      </c>
      <c r="L201" s="5" t="str">
        <f>IF(AND($K201&lt;&gt;"",Config!$B$2&lt;&gt;""), Config!$B$2 &amp; "?id=" &amp; $K201, "")</f>
        <v/>
      </c>
      <c r="M201" s="4"/>
      <c r="N201" s="4" t="str">
        <f t="shared" ca="1" si="3"/>
        <v/>
      </c>
      <c r="O201" s="4" t="s">
        <v>396</v>
      </c>
    </row>
    <row r="202" spans="1:15" x14ac:dyDescent="0.2">
      <c r="A202" s="4" t="s">
        <v>454</v>
      </c>
      <c r="B202" s="4" t="s">
        <v>418</v>
      </c>
      <c r="C202" s="4" t="s">
        <v>318</v>
      </c>
      <c r="D202" s="4" t="s">
        <v>30</v>
      </c>
      <c r="E202" s="4" t="s">
        <v>415</v>
      </c>
      <c r="F202" s="4" t="s">
        <v>30</v>
      </c>
      <c r="G202" s="4" t="s">
        <v>30</v>
      </c>
      <c r="H202" s="4" t="s">
        <v>62</v>
      </c>
      <c r="I202" s="4" t="s">
        <v>168</v>
      </c>
      <c r="J202" s="4"/>
      <c r="K202" s="4" t="s">
        <v>460</v>
      </c>
      <c r="L202" s="5" t="str">
        <f>IF(AND($K202&lt;&gt;"",Config!$B$2&lt;&gt;""), Config!$B$2 &amp; "?id=" &amp; $K202, "")</f>
        <v/>
      </c>
      <c r="M202" s="4"/>
      <c r="N202" s="4" t="str">
        <f t="shared" ca="1" si="3"/>
        <v/>
      </c>
      <c r="O202" s="4" t="s">
        <v>396</v>
      </c>
    </row>
    <row r="203" spans="1:15" x14ac:dyDescent="0.2">
      <c r="A203" s="4" t="s">
        <v>454</v>
      </c>
      <c r="B203" s="4" t="s">
        <v>419</v>
      </c>
      <c r="C203" s="4" t="s">
        <v>318</v>
      </c>
      <c r="D203" s="4" t="s">
        <v>30</v>
      </c>
      <c r="E203" s="4" t="s">
        <v>239</v>
      </c>
      <c r="F203" s="4" t="s">
        <v>30</v>
      </c>
      <c r="G203" s="4" t="s">
        <v>30</v>
      </c>
      <c r="H203" s="4" t="s">
        <v>33</v>
      </c>
      <c r="I203" s="4" t="s">
        <v>420</v>
      </c>
      <c r="J203" s="4"/>
      <c r="K203" s="4" t="s">
        <v>460</v>
      </c>
      <c r="L203" s="5" t="str">
        <f>IF(AND($K203&lt;&gt;"",Config!$B$2&lt;&gt;""), Config!$B$2 &amp; "?id=" &amp; $K203, "")</f>
        <v/>
      </c>
      <c r="M203" s="4"/>
      <c r="N203" s="4" t="str">
        <f t="shared" ca="1" si="3"/>
        <v/>
      </c>
      <c r="O203" s="4" t="s">
        <v>396</v>
      </c>
    </row>
    <row r="204" spans="1:15" x14ac:dyDescent="0.2">
      <c r="A204" s="4" t="s">
        <v>454</v>
      </c>
      <c r="B204" s="4" t="s">
        <v>421</v>
      </c>
      <c r="C204" s="4" t="s">
        <v>29</v>
      </c>
      <c r="D204" s="4" t="s">
        <v>30</v>
      </c>
      <c r="E204" s="4" t="s">
        <v>239</v>
      </c>
      <c r="F204" s="4" t="s">
        <v>30</v>
      </c>
      <c r="G204" s="4" t="s">
        <v>30</v>
      </c>
      <c r="H204" s="4" t="s">
        <v>33</v>
      </c>
      <c r="I204" s="4" t="s">
        <v>420</v>
      </c>
      <c r="J204" s="4"/>
      <c r="K204" s="4" t="s">
        <v>460</v>
      </c>
      <c r="L204" s="5" t="str">
        <f>IF(AND($K204&lt;&gt;"",Config!$B$2&lt;&gt;""), Config!$B$2 &amp; "?id=" &amp; $K204, "")</f>
        <v/>
      </c>
      <c r="M204" s="4"/>
      <c r="N204" s="4" t="str">
        <f t="shared" ca="1" si="3"/>
        <v/>
      </c>
      <c r="O204" s="4" t="s">
        <v>396</v>
      </c>
    </row>
    <row r="205" spans="1:15" x14ac:dyDescent="0.2">
      <c r="A205" s="4" t="s">
        <v>454</v>
      </c>
      <c r="B205" s="4" t="s">
        <v>422</v>
      </c>
      <c r="C205" s="4" t="s">
        <v>46</v>
      </c>
      <c r="D205" s="4" t="s">
        <v>30</v>
      </c>
      <c r="E205" s="4" t="s">
        <v>423</v>
      </c>
      <c r="F205" s="4" t="s">
        <v>30</v>
      </c>
      <c r="G205" s="4" t="s">
        <v>30</v>
      </c>
      <c r="H205" s="4" t="s">
        <v>62</v>
      </c>
      <c r="I205" s="4" t="s">
        <v>170</v>
      </c>
      <c r="J205" s="4"/>
      <c r="K205" s="4" t="s">
        <v>460</v>
      </c>
      <c r="L205" s="5" t="str">
        <f>IF(AND($K205&lt;&gt;"",Config!$B$2&lt;&gt;""), Config!$B$2 &amp; "?id=" &amp; $K205, "")</f>
        <v/>
      </c>
      <c r="M205" s="4"/>
      <c r="N205" s="4" t="str">
        <f t="shared" ca="1" si="3"/>
        <v/>
      </c>
      <c r="O205" s="4" t="s">
        <v>396</v>
      </c>
    </row>
    <row r="206" spans="1:15" x14ac:dyDescent="0.2">
      <c r="A206" s="4" t="s">
        <v>454</v>
      </c>
      <c r="B206" s="4" t="s">
        <v>424</v>
      </c>
      <c r="C206" s="4" t="s">
        <v>318</v>
      </c>
      <c r="D206" s="4" t="s">
        <v>30</v>
      </c>
      <c r="E206" s="4" t="s">
        <v>423</v>
      </c>
      <c r="F206" s="4" t="s">
        <v>30</v>
      </c>
      <c r="G206" s="4" t="s">
        <v>30</v>
      </c>
      <c r="H206" s="4" t="s">
        <v>62</v>
      </c>
      <c r="I206" s="4" t="s">
        <v>170</v>
      </c>
      <c r="J206" s="4"/>
      <c r="K206" s="4" t="s">
        <v>460</v>
      </c>
      <c r="L206" s="5" t="str">
        <f>IF(AND($K206&lt;&gt;"",Config!$B$2&lt;&gt;""), Config!$B$2 &amp; "?id=" &amp; $K206, "")</f>
        <v/>
      </c>
      <c r="M206" s="4"/>
      <c r="N206" s="4" t="str">
        <f t="shared" ca="1" si="3"/>
        <v/>
      </c>
      <c r="O206" s="4" t="s">
        <v>396</v>
      </c>
    </row>
    <row r="207" spans="1:15" x14ac:dyDescent="0.2">
      <c r="A207" s="4" t="s">
        <v>454</v>
      </c>
      <c r="B207" s="4" t="s">
        <v>425</v>
      </c>
      <c r="C207" s="4" t="s">
        <v>46</v>
      </c>
      <c r="D207" s="4" t="s">
        <v>30</v>
      </c>
      <c r="E207" s="4" t="s">
        <v>426</v>
      </c>
      <c r="F207" s="4" t="s">
        <v>30</v>
      </c>
      <c r="G207" s="4" t="s">
        <v>30</v>
      </c>
      <c r="H207" s="4" t="s">
        <v>173</v>
      </c>
      <c r="I207" s="4" t="s">
        <v>427</v>
      </c>
      <c r="J207" s="4"/>
      <c r="K207" s="4" t="s">
        <v>460</v>
      </c>
      <c r="L207" s="5" t="str">
        <f>IF(AND($K207&lt;&gt;"",Config!$B$2&lt;&gt;""), Config!$B$2 &amp; "?id=" &amp; $K207, "")</f>
        <v/>
      </c>
      <c r="M207" s="4"/>
      <c r="N207" s="4" t="str">
        <f t="shared" ca="1" si="3"/>
        <v/>
      </c>
      <c r="O207" s="4" t="s">
        <v>396</v>
      </c>
    </row>
    <row r="208" spans="1:15" x14ac:dyDescent="0.2">
      <c r="A208" s="4" t="s">
        <v>454</v>
      </c>
      <c r="B208" s="4" t="s">
        <v>428</v>
      </c>
      <c r="C208" s="4" t="s">
        <v>318</v>
      </c>
      <c r="D208" s="4" t="s">
        <v>30</v>
      </c>
      <c r="E208" s="4" t="s">
        <v>426</v>
      </c>
      <c r="F208" s="4" t="s">
        <v>30</v>
      </c>
      <c r="G208" s="4" t="s">
        <v>30</v>
      </c>
      <c r="H208" s="4" t="s">
        <v>173</v>
      </c>
      <c r="I208" s="4" t="s">
        <v>427</v>
      </c>
      <c r="J208" s="4"/>
      <c r="K208" s="4" t="s">
        <v>460</v>
      </c>
      <c r="L208" s="5" t="str">
        <f>IF(AND($K208&lt;&gt;"",Config!$B$2&lt;&gt;""), Config!$B$2 &amp; "?id=" &amp; $K208, "")</f>
        <v/>
      </c>
      <c r="M208" s="4"/>
      <c r="N208" s="4" t="str">
        <f t="shared" ca="1" si="3"/>
        <v/>
      </c>
      <c r="O208" s="4" t="s">
        <v>396</v>
      </c>
    </row>
    <row r="209" spans="1:15" x14ac:dyDescent="0.2">
      <c r="A209" s="4" t="s">
        <v>454</v>
      </c>
      <c r="B209" s="4" t="s">
        <v>429</v>
      </c>
      <c r="C209" s="4" t="s">
        <v>136</v>
      </c>
      <c r="D209" s="4" t="s">
        <v>114</v>
      </c>
      <c r="E209" s="4" t="s">
        <v>115</v>
      </c>
      <c r="F209" s="4" t="s">
        <v>115</v>
      </c>
      <c r="G209" s="4" t="s">
        <v>115</v>
      </c>
      <c r="H209" s="4" t="s">
        <v>76</v>
      </c>
      <c r="I209" s="4" t="s">
        <v>430</v>
      </c>
      <c r="J209" s="4"/>
      <c r="K209" s="4" t="s">
        <v>459</v>
      </c>
      <c r="L209" s="5" t="str">
        <f>IF(AND($K209&lt;&gt;"",Config!$B$2&lt;&gt;""), Config!$B$2 &amp; "?id=" &amp; $K209, "")</f>
        <v/>
      </c>
      <c r="M209" s="4"/>
      <c r="N209" s="4" t="str">
        <f t="shared" ca="1" si="3"/>
        <v/>
      </c>
      <c r="O209" s="4" t="s">
        <v>431</v>
      </c>
    </row>
    <row r="210" spans="1:15" x14ac:dyDescent="0.2">
      <c r="A210" s="4" t="s">
        <v>454</v>
      </c>
      <c r="B210" s="4" t="s">
        <v>432</v>
      </c>
      <c r="C210" s="4" t="s">
        <v>29</v>
      </c>
      <c r="D210" s="4" t="s">
        <v>114</v>
      </c>
      <c r="E210" s="4" t="s">
        <v>115</v>
      </c>
      <c r="F210" s="4" t="s">
        <v>115</v>
      </c>
      <c r="G210" s="4" t="s">
        <v>115</v>
      </c>
      <c r="H210" s="4" t="s">
        <v>76</v>
      </c>
      <c r="I210" s="4" t="s">
        <v>381</v>
      </c>
      <c r="J210" s="4"/>
      <c r="K210" s="4" t="s">
        <v>459</v>
      </c>
      <c r="L210" s="5" t="str">
        <f>IF(AND($K210&lt;&gt;"",Config!$B$2&lt;&gt;""), Config!$B$2 &amp; "?id=" &amp; $K210, "")</f>
        <v/>
      </c>
      <c r="M210" s="4"/>
      <c r="N210" s="4" t="str">
        <f t="shared" ca="1" si="3"/>
        <v/>
      </c>
      <c r="O210" s="4" t="s">
        <v>431</v>
      </c>
    </row>
    <row r="211" spans="1:15" x14ac:dyDescent="0.2">
      <c r="A211" s="4" t="s">
        <v>454</v>
      </c>
      <c r="B211" s="4" t="s">
        <v>433</v>
      </c>
      <c r="C211" s="4" t="s">
        <v>86</v>
      </c>
      <c r="D211" s="4" t="s">
        <v>114</v>
      </c>
      <c r="E211" s="4" t="s">
        <v>115</v>
      </c>
      <c r="F211" s="4" t="s">
        <v>115</v>
      </c>
      <c r="G211" s="4" t="s">
        <v>115</v>
      </c>
      <c r="H211" s="4" t="s">
        <v>76</v>
      </c>
      <c r="I211" s="4" t="s">
        <v>434</v>
      </c>
      <c r="J211" s="4"/>
      <c r="K211" s="4" t="s">
        <v>459</v>
      </c>
      <c r="L211" s="5" t="str">
        <f>IF(AND($K211&lt;&gt;"",Config!$B$2&lt;&gt;""), Config!$B$2 &amp; "?id=" &amp; $K211, "")</f>
        <v/>
      </c>
      <c r="M211" s="4"/>
      <c r="N211" s="4" t="str">
        <f t="shared" ca="1" si="3"/>
        <v/>
      </c>
      <c r="O211" s="4" t="s">
        <v>431</v>
      </c>
    </row>
    <row r="212" spans="1:15" x14ac:dyDescent="0.2">
      <c r="A212" s="4" t="s">
        <v>454</v>
      </c>
      <c r="B212" s="4" t="s">
        <v>435</v>
      </c>
      <c r="C212" s="4" t="s">
        <v>46</v>
      </c>
      <c r="D212" s="4" t="s">
        <v>114</v>
      </c>
      <c r="E212" s="4" t="s">
        <v>115</v>
      </c>
      <c r="F212" s="4" t="s">
        <v>115</v>
      </c>
      <c r="G212" s="4" t="s">
        <v>115</v>
      </c>
      <c r="H212" s="4" t="s">
        <v>76</v>
      </c>
      <c r="I212" s="4" t="s">
        <v>436</v>
      </c>
      <c r="J212" s="4"/>
      <c r="K212" s="4" t="s">
        <v>459</v>
      </c>
      <c r="L212" s="5" t="str">
        <f>IF(AND($K212&lt;&gt;"",Config!$B$2&lt;&gt;""), Config!$B$2 &amp; "?id=" &amp; $K212, "")</f>
        <v/>
      </c>
      <c r="M212" s="4"/>
      <c r="N212" s="4" t="str">
        <f t="shared" ca="1" si="3"/>
        <v/>
      </c>
      <c r="O212" s="4" t="s">
        <v>431</v>
      </c>
    </row>
    <row r="213" spans="1:15" x14ac:dyDescent="0.2">
      <c r="A213" s="4" t="s">
        <v>454</v>
      </c>
      <c r="B213" s="4" t="s">
        <v>437</v>
      </c>
      <c r="C213" s="4" t="s">
        <v>92</v>
      </c>
      <c r="D213" s="4" t="s">
        <v>114</v>
      </c>
      <c r="E213" s="4" t="s">
        <v>115</v>
      </c>
      <c r="F213" s="4" t="s">
        <v>115</v>
      </c>
      <c r="G213" s="4" t="s">
        <v>115</v>
      </c>
      <c r="H213" s="4" t="s">
        <v>76</v>
      </c>
      <c r="I213" s="4" t="s">
        <v>246</v>
      </c>
      <c r="J213" s="4"/>
      <c r="K213" s="4" t="s">
        <v>459</v>
      </c>
      <c r="L213" s="5" t="str">
        <f>IF(AND($K213&lt;&gt;"",Config!$B$2&lt;&gt;""), Config!$B$2 &amp; "?id=" &amp; $K213, "")</f>
        <v/>
      </c>
      <c r="M213" s="4"/>
      <c r="N213" s="4" t="str">
        <f t="shared" ca="1" si="3"/>
        <v/>
      </c>
      <c r="O213" s="4" t="s">
        <v>431</v>
      </c>
    </row>
    <row r="214" spans="1:15" x14ac:dyDescent="0.2">
      <c r="A214" s="4" t="s">
        <v>454</v>
      </c>
      <c r="B214" s="4" t="s">
        <v>438</v>
      </c>
      <c r="C214" s="4" t="s">
        <v>48</v>
      </c>
      <c r="D214" s="4" t="s">
        <v>143</v>
      </c>
      <c r="E214" s="4" t="s">
        <v>37</v>
      </c>
      <c r="F214" s="4" t="s">
        <v>37</v>
      </c>
      <c r="G214" s="4" t="s">
        <v>37</v>
      </c>
      <c r="H214" s="4" t="s">
        <v>37</v>
      </c>
      <c r="I214" s="4" t="s">
        <v>37</v>
      </c>
      <c r="J214" s="4"/>
      <c r="K214" s="4" t="s">
        <v>458</v>
      </c>
      <c r="L214" s="5" t="str">
        <f>IF(AND($K214&lt;&gt;"",Config!$B$2&lt;&gt;""), Config!$B$2 &amp; "?id=" &amp; $K214, "")</f>
        <v/>
      </c>
      <c r="M214" s="4"/>
      <c r="N214" s="4" t="str">
        <f t="shared" ca="1" si="3"/>
        <v/>
      </c>
      <c r="O214" s="4" t="s">
        <v>439</v>
      </c>
    </row>
    <row r="215" spans="1:15" x14ac:dyDescent="0.2">
      <c r="A215" s="4" t="s">
        <v>454</v>
      </c>
      <c r="B215" s="4" t="s">
        <v>440</v>
      </c>
      <c r="C215" s="4" t="s">
        <v>48</v>
      </c>
      <c r="D215" s="4" t="s">
        <v>143</v>
      </c>
      <c r="E215" s="4" t="s">
        <v>37</v>
      </c>
      <c r="F215" s="4" t="s">
        <v>37</v>
      </c>
      <c r="G215" s="4" t="s">
        <v>37</v>
      </c>
      <c r="H215" s="4" t="s">
        <v>37</v>
      </c>
      <c r="I215" s="4" t="s">
        <v>37</v>
      </c>
      <c r="J215" s="4"/>
      <c r="K215" s="4" t="s">
        <v>458</v>
      </c>
      <c r="L215" s="5" t="str">
        <f>IF(AND($K215&lt;&gt;"",Config!$B$2&lt;&gt;""), Config!$B$2 &amp; "?id=" &amp; $K215, "")</f>
        <v/>
      </c>
      <c r="M215" s="4"/>
      <c r="N215" s="4" t="str">
        <f t="shared" ca="1" si="3"/>
        <v/>
      </c>
      <c r="O215" s="4" t="s">
        <v>439</v>
      </c>
    </row>
    <row r="216" spans="1:15" x14ac:dyDescent="0.2">
      <c r="A216" s="4" t="s">
        <v>454</v>
      </c>
      <c r="B216" s="4" t="s">
        <v>441</v>
      </c>
      <c r="C216" s="4" t="s">
        <v>48</v>
      </c>
      <c r="D216" s="4" t="s">
        <v>143</v>
      </c>
      <c r="E216" s="4" t="s">
        <v>37</v>
      </c>
      <c r="F216" s="4" t="s">
        <v>37</v>
      </c>
      <c r="G216" s="4" t="s">
        <v>37</v>
      </c>
      <c r="H216" s="4" t="s">
        <v>37</v>
      </c>
      <c r="I216" s="4" t="s">
        <v>37</v>
      </c>
      <c r="J216" s="4"/>
      <c r="K216" s="4" t="s">
        <v>458</v>
      </c>
      <c r="L216" s="5" t="str">
        <f>IF(AND($K216&lt;&gt;"",Config!$B$2&lt;&gt;""), Config!$B$2 &amp; "?id=" &amp; $K216, "")</f>
        <v/>
      </c>
      <c r="M216" s="4"/>
      <c r="N216" s="4" t="str">
        <f t="shared" ca="1" si="3"/>
        <v/>
      </c>
      <c r="O216" s="4" t="s">
        <v>439</v>
      </c>
    </row>
    <row r="217" spans="1:15" x14ac:dyDescent="0.2">
      <c r="A217" s="4" t="s">
        <v>454</v>
      </c>
      <c r="B217" s="4" t="s">
        <v>442</v>
      </c>
      <c r="C217" s="4" t="s">
        <v>48</v>
      </c>
      <c r="D217" s="4" t="s">
        <v>143</v>
      </c>
      <c r="E217" s="4" t="s">
        <v>37</v>
      </c>
      <c r="F217" s="4" t="s">
        <v>37</v>
      </c>
      <c r="G217" s="4" t="s">
        <v>37</v>
      </c>
      <c r="H217" s="4" t="s">
        <v>37</v>
      </c>
      <c r="I217" s="4" t="s">
        <v>37</v>
      </c>
      <c r="J217" s="4"/>
      <c r="K217" s="4" t="s">
        <v>458</v>
      </c>
      <c r="L217" s="5" t="str">
        <f>IF(AND($K217&lt;&gt;"",Config!$B$2&lt;&gt;""), Config!$B$2 &amp; "?id=" &amp; $K217, "")</f>
        <v/>
      </c>
      <c r="M217" s="4"/>
      <c r="N217" s="4" t="str">
        <f t="shared" ca="1" si="3"/>
        <v/>
      </c>
      <c r="O217" s="4" t="s">
        <v>439</v>
      </c>
    </row>
    <row r="218" spans="1:15" x14ac:dyDescent="0.2">
      <c r="A218" s="4" t="s">
        <v>454</v>
      </c>
      <c r="B218" s="4" t="s">
        <v>443</v>
      </c>
      <c r="C218" s="4" t="s">
        <v>46</v>
      </c>
      <c r="D218" s="4" t="s">
        <v>143</v>
      </c>
      <c r="E218" s="4" t="s">
        <v>172</v>
      </c>
      <c r="F218" s="4" t="s">
        <v>203</v>
      </c>
      <c r="G218" s="4" t="s">
        <v>444</v>
      </c>
      <c r="H218" s="4" t="s">
        <v>173</v>
      </c>
      <c r="I218" s="4" t="s">
        <v>174</v>
      </c>
      <c r="J218" s="4"/>
      <c r="K218" s="4" t="s">
        <v>458</v>
      </c>
      <c r="L218" s="5" t="str">
        <f>IF(AND($K218&lt;&gt;"",Config!$B$2&lt;&gt;""), Config!$B$2 &amp; "?id=" &amp; $K218, "")</f>
        <v/>
      </c>
      <c r="M218" s="4"/>
      <c r="N218" s="4" t="str">
        <f t="shared" ca="1" si="3"/>
        <v/>
      </c>
      <c r="O218" s="4" t="s">
        <v>439</v>
      </c>
    </row>
    <row r="219" spans="1:15" x14ac:dyDescent="0.2">
      <c r="A219" s="4" t="s">
        <v>454</v>
      </c>
      <c r="B219" s="4" t="s">
        <v>445</v>
      </c>
      <c r="C219" s="4" t="s">
        <v>42</v>
      </c>
      <c r="D219" s="4" t="s">
        <v>30</v>
      </c>
      <c r="E219" s="4" t="s">
        <v>239</v>
      </c>
      <c r="F219" s="4" t="s">
        <v>30</v>
      </c>
      <c r="G219" s="4" t="s">
        <v>30</v>
      </c>
      <c r="H219" s="4" t="s">
        <v>62</v>
      </c>
      <c r="I219" s="4" t="s">
        <v>307</v>
      </c>
      <c r="J219" s="4"/>
      <c r="K219" s="4" t="s">
        <v>457</v>
      </c>
      <c r="L219" s="5" t="str">
        <f>IF(AND($K219&lt;&gt;"",Config!$B$2&lt;&gt;""), Config!$B$2 &amp; "?id=" &amp; $K219, "")</f>
        <v/>
      </c>
      <c r="M219" s="4"/>
      <c r="N219" s="4" t="str">
        <f t="shared" ca="1" si="3"/>
        <v/>
      </c>
      <c r="O219" s="4" t="s">
        <v>446</v>
      </c>
    </row>
    <row r="220" spans="1:15" x14ac:dyDescent="0.2">
      <c r="A220" s="4" t="s">
        <v>454</v>
      </c>
      <c r="B220" s="4" t="s">
        <v>447</v>
      </c>
      <c r="C220" s="4" t="s">
        <v>46</v>
      </c>
      <c r="D220" s="4" t="s">
        <v>30</v>
      </c>
      <c r="E220" s="4" t="s">
        <v>239</v>
      </c>
      <c r="F220" s="4" t="s">
        <v>30</v>
      </c>
      <c r="G220" s="4" t="s">
        <v>30</v>
      </c>
      <c r="H220" s="4" t="s">
        <v>33</v>
      </c>
      <c r="I220" s="4" t="s">
        <v>73</v>
      </c>
      <c r="J220" s="4"/>
      <c r="K220" s="4" t="s">
        <v>457</v>
      </c>
      <c r="L220" s="5" t="str">
        <f>IF(AND($K220&lt;&gt;"",Config!$B$2&lt;&gt;""), Config!$B$2 &amp; "?id=" &amp; $K220, "")</f>
        <v/>
      </c>
      <c r="M220" s="4"/>
      <c r="N220" s="4" t="str">
        <f t="shared" ca="1" si="3"/>
        <v/>
      </c>
      <c r="O220" s="4" t="s">
        <v>446</v>
      </c>
    </row>
    <row r="221" spans="1:15" x14ac:dyDescent="0.2">
      <c r="A221" s="4" t="s">
        <v>454</v>
      </c>
      <c r="B221" s="4" t="s">
        <v>448</v>
      </c>
      <c r="C221" s="4" t="s">
        <v>46</v>
      </c>
      <c r="D221" s="4" t="s">
        <v>30</v>
      </c>
      <c r="E221" s="4" t="s">
        <v>239</v>
      </c>
      <c r="F221" s="4" t="s">
        <v>30</v>
      </c>
      <c r="G221" s="4" t="s">
        <v>30</v>
      </c>
      <c r="H221" s="4" t="s">
        <v>33</v>
      </c>
      <c r="I221" s="4" t="s">
        <v>274</v>
      </c>
      <c r="J221" s="4"/>
      <c r="K221" s="4" t="s">
        <v>457</v>
      </c>
      <c r="L221" s="5" t="str">
        <f>IF(AND($K221&lt;&gt;"",Config!$B$2&lt;&gt;""), Config!$B$2 &amp; "?id=" &amp; $K221, "")</f>
        <v/>
      </c>
      <c r="M221" s="4"/>
      <c r="N221" s="4" t="str">
        <f t="shared" ca="1" si="3"/>
        <v/>
      </c>
      <c r="O221" s="4" t="s">
        <v>446</v>
      </c>
    </row>
  </sheetData>
  <phoneticPr fontId="5" type="noConversion"/>
  <pageMargins left="0.7" right="0.7" top="0.75" bottom="0.75" header="0.3" footer="0.3"/>
  <ignoredErrors>
    <ignoredError sqref="O2:O8" numberStoredAsText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9A0A5-36FA-3946-88E6-47182779EFB0}">
  <dimension ref="B1:C12"/>
  <sheetViews>
    <sheetView workbookViewId="0">
      <selection activeCell="H17" sqref="H17"/>
    </sheetView>
  </sheetViews>
  <sheetFormatPr baseColWidth="10" defaultRowHeight="15" x14ac:dyDescent="0.2"/>
  <cols>
    <col min="1" max="1" width="3.83203125" customWidth="1"/>
    <col min="2" max="4" width="20.83203125" customWidth="1"/>
    <col min="5" max="5" width="3.83203125" customWidth="1"/>
    <col min="6" max="8" width="20.83203125" customWidth="1"/>
  </cols>
  <sheetData>
    <row r="1" spans="2:3" ht="15.5" customHeight="1" x14ac:dyDescent="0.2">
      <c r="B1" t="s">
        <v>449</v>
      </c>
      <c r="C1" t="str">
        <f>Data!B12</f>
        <v>Bellas Artes Hybrid Toro</v>
      </c>
    </row>
    <row r="2" spans="2:3" ht="15.5" customHeight="1" x14ac:dyDescent="0.2">
      <c r="B2" t="s">
        <v>450</v>
      </c>
      <c r="C2" t="str">
        <f>Data!C12</f>
        <v>Toro</v>
      </c>
    </row>
    <row r="3" spans="2:3" ht="15.5" customHeight="1" x14ac:dyDescent="0.2">
      <c r="B3" t="s">
        <v>451</v>
      </c>
      <c r="C3" t="str">
        <f>Data!D12</f>
        <v>Nicaragua</v>
      </c>
    </row>
    <row r="4" spans="2:3" ht="15.5" customHeight="1" x14ac:dyDescent="0.2">
      <c r="B4" t="s">
        <v>452</v>
      </c>
      <c r="C4" t="str">
        <f>Data!H12</f>
        <v>Medium-Full</v>
      </c>
    </row>
    <row r="5" spans="2:3" ht="15.5" customHeight="1" x14ac:dyDescent="0.2">
      <c r="B5" t="s">
        <v>453</v>
      </c>
      <c r="C5" t="str">
        <f>Data!K12</f>
        <v>0925-01-AJ-FERNANDEZ</v>
      </c>
    </row>
    <row r="6" spans="2:3" ht="15.5" customHeight="1" x14ac:dyDescent="0.2"/>
    <row r="7" spans="2:3" ht="15.5" customHeight="1" x14ac:dyDescent="0.2"/>
    <row r="8" spans="2:3" ht="15.5" customHeight="1" x14ac:dyDescent="0.2"/>
    <row r="9" spans="2:3" ht="15.5" customHeight="1" x14ac:dyDescent="0.2"/>
    <row r="10" spans="2:3" ht="15.5" customHeight="1" x14ac:dyDescent="0.2"/>
    <row r="11" spans="2:3" ht="15.5" customHeight="1" x14ac:dyDescent="0.2"/>
    <row r="12" spans="2:3" ht="15.5" customHeight="1" x14ac:dyDescent="0.2"/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ReadMe</vt:lpstr>
      <vt:lpstr>Config</vt:lpstr>
      <vt:lpstr>Data</vt:lpstr>
      <vt:lpstr>Labels_A4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Michelle Martin</cp:lastModifiedBy>
  <dcterms:created xsi:type="dcterms:W3CDTF">2025-09-10T08:07:04Z</dcterms:created>
  <dcterms:modified xsi:type="dcterms:W3CDTF">2025-09-10T09:27:34Z</dcterms:modified>
</cp:coreProperties>
</file>